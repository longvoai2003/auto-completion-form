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7"/>
  </bookViews>
  <sheets>
    <sheet name="Sheet1" sheetId="33" r:id="rId1"/>
    <sheet name="CN11A1" sheetId="21" r:id="rId2"/>
    <sheet name="CN11A2" sheetId="17" r:id="rId3"/>
    <sheet name="CN11A3" sheetId="16" r:id="rId4"/>
    <sheet name="CN11A4" sheetId="15" r:id="rId5"/>
    <sheet name="CN11A5" sheetId="22" r:id="rId6"/>
    <sheet name="CN11A6" sheetId="26" r:id="rId7"/>
    <sheet name="CN11A7" sheetId="28" r:id="rId8"/>
    <sheet name="CĐ19A1" sheetId="2" r:id="rId9"/>
    <sheet name="CĐ19A2" sheetId="20" r:id="rId10"/>
    <sheet name="CĐ19A3" sheetId="24" r:id="rId11"/>
    <sheet name="CĐ19A4" sheetId="27" r:id="rId12"/>
    <sheet name="MLĐH5A" sheetId="3" r:id="rId13"/>
    <sheet name="CT10AL" sheetId="34" r:id="rId14"/>
    <sheet name="CT10AD" sheetId="9" r:id="rId15"/>
    <sheet name="CT10A" sheetId="35" r:id="rId16"/>
    <sheet name="ĐD18A1" sheetId="4" r:id="rId17"/>
    <sheet name="ĐD18A2" sheetId="18" r:id="rId18"/>
    <sheet name="ĐD18A3" sheetId="19" r:id="rId19"/>
    <sheet name="ĐD18A4" sheetId="23" r:id="rId20"/>
    <sheet name="ĐD18A5" sheetId="29" r:id="rId21"/>
    <sheet name="DC15A1" sheetId="30" r:id="rId22"/>
    <sheet name="DC15A2" sheetId="5" r:id="rId23"/>
    <sheet name="YC4A" sheetId="6" r:id="rId24"/>
    <sheet name="VLTL2A 1" sheetId="31" r:id="rId25"/>
    <sheet name="VLTL2A 2" sheetId="7" r:id="rId26"/>
    <sheet name="YHCT1A" sheetId="8" r:id="rId27"/>
    <sheet name="QL11A" sheetId="10" r:id="rId28"/>
    <sheet name="QT17A" sheetId="12" r:id="rId29"/>
    <sheet name="ANC2A" sheetId="25" r:id="rId30"/>
    <sheet name="NNC2A" sheetId="11" r:id="rId31"/>
    <sheet name="in" sheetId="14" r:id="rId32"/>
    <sheet name="THIẾU HỒ SƠ" sheetId="32" r:id="rId33"/>
  </sheets>
  <definedNames>
    <definedName name="_xlnm.Print_Titles" localSheetId="9">CĐ19A2!$6:$6</definedName>
    <definedName name="_xlnm.Print_Titles" localSheetId="10">CĐ19A3!$6:$6</definedName>
    <definedName name="_xlnm.Print_Titles" localSheetId="1">CN11A1!$6:$6</definedName>
    <definedName name="_xlnm.Print_Titles" localSheetId="2">CN11A2!$6:$6</definedName>
    <definedName name="_xlnm.Print_Titles" localSheetId="3">CN11A3!$6:$6</definedName>
    <definedName name="_xlnm.Print_Titles" localSheetId="4">CN11A4!$6:$6</definedName>
    <definedName name="_xlnm.Print_Titles" localSheetId="5">CN11A5!$6:$6</definedName>
    <definedName name="_xlnm.Print_Titles" localSheetId="6">CN11A6!$6:$6</definedName>
    <definedName name="_xlnm.Print_Titles" localSheetId="7">CN11A7!$6:$6</definedName>
    <definedName name="_xlnm.Print_Titles" localSheetId="21">DC15A1!$6:$6</definedName>
    <definedName name="_xlnm.Print_Titles" localSheetId="22">DC15A2!$6:$6</definedName>
    <definedName name="_xlnm.Print_Titles" localSheetId="16">ĐD18A1!$6:$6</definedName>
    <definedName name="_xlnm.Print_Titles" localSheetId="17">ĐD18A2!$6:$6</definedName>
    <definedName name="_xlnm.Print_Titles" localSheetId="18">ĐD18A3!$6:$6</definedName>
    <definedName name="_xlnm.Print_Titles" localSheetId="25">'VLTL2A 2'!$6:$6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9" i="25" l="1"/>
  <c r="A55" i="28" l="1"/>
  <c r="A55" i="16"/>
  <c r="A52" i="20"/>
  <c r="L52" i="20"/>
  <c r="K52" i="20"/>
  <c r="A51" i="24"/>
  <c r="A52" i="24"/>
  <c r="L52" i="24"/>
  <c r="K52" i="24"/>
  <c r="A33" i="34" l="1"/>
  <c r="A30" i="34" l="1"/>
  <c r="A31" i="34"/>
  <c r="A32" i="34"/>
  <c r="J60" i="35"/>
  <c r="K60" i="35"/>
  <c r="J61" i="35"/>
  <c r="K61" i="35"/>
  <c r="J62" i="35"/>
  <c r="K62" i="35"/>
  <c r="J63" i="35"/>
  <c r="K63" i="35"/>
  <c r="A60" i="35"/>
  <c r="A61" i="35"/>
  <c r="A62" i="35"/>
  <c r="A63" i="35"/>
  <c r="A55" i="15"/>
  <c r="K55" i="15"/>
  <c r="J55" i="15"/>
  <c r="A54" i="15" l="1"/>
  <c r="K54" i="15"/>
  <c r="J54" i="15"/>
  <c r="A45" i="30" l="1"/>
  <c r="A46" i="30"/>
  <c r="J45" i="30"/>
  <c r="K45" i="30"/>
  <c r="J46" i="30"/>
  <c r="K46" i="30"/>
  <c r="A48" i="23"/>
  <c r="A49" i="23"/>
  <c r="K42" i="7"/>
  <c r="J42" i="7"/>
  <c r="A42" i="7"/>
  <c r="K53" i="15" l="1"/>
  <c r="J53" i="15"/>
  <c r="A53" i="15"/>
  <c r="A54" i="27"/>
  <c r="L51" i="20"/>
  <c r="K51" i="20"/>
  <c r="A51" i="20"/>
  <c r="A36" i="9" l="1"/>
  <c r="L30" i="11" l="1"/>
  <c r="K30" i="11"/>
  <c r="A30" i="11"/>
  <c r="A59" i="35"/>
  <c r="A53" i="2" l="1"/>
  <c r="L55" i="26"/>
  <c r="K55" i="26"/>
  <c r="A55" i="26"/>
  <c r="A41" i="7"/>
  <c r="A29" i="34" l="1"/>
  <c r="A55" i="22" l="1"/>
  <c r="L55" i="22"/>
  <c r="K55" i="22"/>
  <c r="A55" i="12"/>
  <c r="A37" i="10"/>
  <c r="A38" i="10"/>
  <c r="A53" i="12" l="1"/>
  <c r="A54" i="12"/>
  <c r="J50" i="12"/>
  <c r="K50" i="12"/>
  <c r="J51" i="12"/>
  <c r="K51" i="12"/>
  <c r="J52" i="12"/>
  <c r="K52" i="12"/>
  <c r="J53" i="12"/>
  <c r="K53" i="12"/>
  <c r="J54" i="12"/>
  <c r="K54" i="12"/>
  <c r="J55" i="12"/>
  <c r="K55" i="12"/>
  <c r="J56" i="12"/>
  <c r="K56" i="12"/>
  <c r="J57" i="12"/>
  <c r="K57" i="12"/>
  <c r="A36" i="10"/>
  <c r="A29" i="11"/>
  <c r="A28" i="25"/>
  <c r="L28" i="25"/>
  <c r="K28" i="25"/>
  <c r="A58" i="35" l="1"/>
  <c r="A52" i="2"/>
  <c r="A64" i="3" l="1"/>
  <c r="L64" i="3"/>
  <c r="K64" i="3"/>
  <c r="A8" i="11" l="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51" i="2" l="1"/>
  <c r="A54" i="22" l="1"/>
  <c r="K53" i="22"/>
  <c r="L53" i="22"/>
  <c r="K54" i="22"/>
  <c r="L54" i="22"/>
  <c r="A54" i="26"/>
  <c r="A55" i="17"/>
  <c r="A35" i="10" l="1"/>
  <c r="A50" i="2" l="1"/>
  <c r="A63" i="3"/>
  <c r="A27" i="25" l="1"/>
  <c r="K27" i="25"/>
  <c r="L27" i="25"/>
  <c r="A34" i="10"/>
  <c r="A44" i="30"/>
  <c r="A54" i="21"/>
  <c r="A55" i="21"/>
  <c r="A47" i="23" l="1"/>
  <c r="J47" i="23"/>
  <c r="K47" i="23"/>
  <c r="J48" i="23"/>
  <c r="K48" i="23"/>
  <c r="J49" i="23"/>
  <c r="K49" i="23"/>
  <c r="L28" i="11"/>
  <c r="K28" i="11"/>
  <c r="K29" i="11"/>
  <c r="L29" i="11"/>
  <c r="A34" i="9"/>
  <c r="A35" i="9"/>
  <c r="A56" i="35"/>
  <c r="A57" i="35"/>
  <c r="J56" i="35"/>
  <c r="K56" i="35"/>
  <c r="J57" i="35"/>
  <c r="K57" i="35"/>
  <c r="J58" i="35"/>
  <c r="K58" i="35"/>
  <c r="J59" i="35"/>
  <c r="K59" i="35"/>
  <c r="A62" i="3"/>
  <c r="K62" i="3"/>
  <c r="L62" i="3"/>
  <c r="K63" i="3"/>
  <c r="L63" i="3"/>
  <c r="K28" i="34" l="1"/>
  <c r="J28" i="34"/>
  <c r="A28" i="34"/>
  <c r="K27" i="34"/>
  <c r="J27" i="34"/>
  <c r="A27" i="34"/>
  <c r="K26" i="34"/>
  <c r="J26" i="34"/>
  <c r="A26" i="34"/>
  <c r="K25" i="34"/>
  <c r="J25" i="34"/>
  <c r="A25" i="34"/>
  <c r="K24" i="34"/>
  <c r="J24" i="34"/>
  <c r="A24" i="34"/>
  <c r="K23" i="34"/>
  <c r="J23" i="34"/>
  <c r="A23" i="34"/>
  <c r="K22" i="34"/>
  <c r="J22" i="34"/>
  <c r="A22" i="34"/>
  <c r="K21" i="34"/>
  <c r="J21" i="34"/>
  <c r="A21" i="34"/>
  <c r="K20" i="34"/>
  <c r="J20" i="34"/>
  <c r="A20" i="34"/>
  <c r="K19" i="34"/>
  <c r="J19" i="34"/>
  <c r="A19" i="34"/>
  <c r="K18" i="34"/>
  <c r="J18" i="34"/>
  <c r="A18" i="34"/>
  <c r="K17" i="34"/>
  <c r="J17" i="34"/>
  <c r="A17" i="34"/>
  <c r="K16" i="34"/>
  <c r="J16" i="34"/>
  <c r="A16" i="34"/>
  <c r="K15" i="34"/>
  <c r="J15" i="34"/>
  <c r="A15" i="34"/>
  <c r="K14" i="34"/>
  <c r="J14" i="34"/>
  <c r="A14" i="34"/>
  <c r="K13" i="34"/>
  <c r="J13" i="34"/>
  <c r="A13" i="34"/>
  <c r="K12" i="34"/>
  <c r="J12" i="34"/>
  <c r="A12" i="34"/>
  <c r="K11" i="34"/>
  <c r="J11" i="34"/>
  <c r="A11" i="34"/>
  <c r="K10" i="34"/>
  <c r="J10" i="34"/>
  <c r="A10" i="34"/>
  <c r="K9" i="34"/>
  <c r="J9" i="34"/>
  <c r="A9" i="34"/>
  <c r="K8" i="34"/>
  <c r="J8" i="34"/>
  <c r="A8" i="34"/>
  <c r="K7" i="34"/>
  <c r="J7" i="34"/>
  <c r="A7" i="34"/>
  <c r="K55" i="35"/>
  <c r="J55" i="35"/>
  <c r="A55" i="35"/>
  <c r="K54" i="35"/>
  <c r="J54" i="35"/>
  <c r="A54" i="35"/>
  <c r="K53" i="35"/>
  <c r="J53" i="35"/>
  <c r="A53" i="35"/>
  <c r="K52" i="35"/>
  <c r="J52" i="35"/>
  <c r="A52" i="35"/>
  <c r="K51" i="35"/>
  <c r="J51" i="35"/>
  <c r="A51" i="35"/>
  <c r="K50" i="35"/>
  <c r="J50" i="35"/>
  <c r="A50" i="35"/>
  <c r="K49" i="35"/>
  <c r="J49" i="35"/>
  <c r="A49" i="35"/>
  <c r="K48" i="35"/>
  <c r="J48" i="35"/>
  <c r="A48" i="35"/>
  <c r="K47" i="35"/>
  <c r="J47" i="35"/>
  <c r="A47" i="35"/>
  <c r="K46" i="35"/>
  <c r="J46" i="35"/>
  <c r="A46" i="35"/>
  <c r="K45" i="35"/>
  <c r="J45" i="35"/>
  <c r="A45" i="35"/>
  <c r="K44" i="35"/>
  <c r="J44" i="35"/>
  <c r="A44" i="35"/>
  <c r="K43" i="35"/>
  <c r="J43" i="35"/>
  <c r="A43" i="35"/>
  <c r="K42" i="35"/>
  <c r="J42" i="35"/>
  <c r="A42" i="35"/>
  <c r="K41" i="35"/>
  <c r="J41" i="35"/>
  <c r="A41" i="35"/>
  <c r="K40" i="35"/>
  <c r="J40" i="35"/>
  <c r="A40" i="35"/>
  <c r="K39" i="35"/>
  <c r="J39" i="35"/>
  <c r="A39" i="35"/>
  <c r="K38" i="35"/>
  <c r="J38" i="35"/>
  <c r="A38" i="35"/>
  <c r="K37" i="35"/>
  <c r="J37" i="35"/>
  <c r="A37" i="35"/>
  <c r="K36" i="35"/>
  <c r="J36" i="35"/>
  <c r="A36" i="35"/>
  <c r="K35" i="35"/>
  <c r="J35" i="35"/>
  <c r="A35" i="35"/>
  <c r="K34" i="35"/>
  <c r="J34" i="35"/>
  <c r="A34" i="35"/>
  <c r="K33" i="35"/>
  <c r="J33" i="35"/>
  <c r="A33" i="35"/>
  <c r="K32" i="35"/>
  <c r="J32" i="35"/>
  <c r="A32" i="35"/>
  <c r="K31" i="35"/>
  <c r="J31" i="35"/>
  <c r="A31" i="35"/>
  <c r="K30" i="35"/>
  <c r="J30" i="35"/>
  <c r="A30" i="35"/>
  <c r="K29" i="35"/>
  <c r="J29" i="35"/>
  <c r="A29" i="35"/>
  <c r="K28" i="35"/>
  <c r="J28" i="35"/>
  <c r="A28" i="35"/>
  <c r="K27" i="35"/>
  <c r="J27" i="35"/>
  <c r="A27" i="35"/>
  <c r="K26" i="35"/>
  <c r="J26" i="35"/>
  <c r="A26" i="35"/>
  <c r="K25" i="35"/>
  <c r="J25" i="35"/>
  <c r="A25" i="35"/>
  <c r="K24" i="35"/>
  <c r="J24" i="35"/>
  <c r="A24" i="35"/>
  <c r="K23" i="35"/>
  <c r="J23" i="35"/>
  <c r="A23" i="35"/>
  <c r="K22" i="35"/>
  <c r="J22" i="35"/>
  <c r="A22" i="35"/>
  <c r="K21" i="35"/>
  <c r="J21" i="35"/>
  <c r="A21" i="35"/>
  <c r="K20" i="35"/>
  <c r="J20" i="35"/>
  <c r="A20" i="35"/>
  <c r="K19" i="35"/>
  <c r="J19" i="35"/>
  <c r="A19" i="35"/>
  <c r="K18" i="35"/>
  <c r="J18" i="35"/>
  <c r="A18" i="35"/>
  <c r="K17" i="35"/>
  <c r="J17" i="35"/>
  <c r="A17" i="35"/>
  <c r="A16" i="35"/>
  <c r="A15" i="35"/>
  <c r="A14" i="35"/>
  <c r="A13" i="35"/>
  <c r="A12" i="35"/>
  <c r="A11" i="35"/>
  <c r="A10" i="35"/>
  <c r="A9" i="35"/>
  <c r="A8" i="35"/>
  <c r="A7" i="35"/>
  <c r="K27" i="11" l="1"/>
  <c r="L27" i="11"/>
  <c r="A54" i="17"/>
  <c r="J41" i="31" l="1"/>
  <c r="K41" i="31"/>
  <c r="J42" i="31"/>
  <c r="K42" i="31"/>
  <c r="J43" i="31"/>
  <c r="K43" i="31"/>
  <c r="A41" i="31"/>
  <c r="K25" i="11"/>
  <c r="L25" i="11"/>
  <c r="K26" i="11"/>
  <c r="L26" i="11"/>
  <c r="K24" i="11"/>
  <c r="A52" i="18"/>
  <c r="J52" i="18"/>
  <c r="K52" i="18"/>
  <c r="J53" i="18"/>
  <c r="K53" i="18"/>
  <c r="A53" i="17"/>
  <c r="A53" i="21"/>
  <c r="A25" i="25"/>
  <c r="A26" i="25"/>
  <c r="A61" i="3" l="1"/>
  <c r="A52" i="15"/>
  <c r="A53" i="27" l="1"/>
  <c r="A53" i="22" l="1"/>
  <c r="A49" i="12"/>
  <c r="A50" i="12"/>
  <c r="A51" i="12"/>
  <c r="A52" i="12"/>
  <c r="A48" i="20" l="1"/>
  <c r="A49" i="20"/>
  <c r="A50" i="20"/>
  <c r="A54" i="2" l="1"/>
  <c r="A55" i="2"/>
  <c r="A46" i="23" l="1"/>
  <c r="J44" i="23"/>
  <c r="K44" i="23"/>
  <c r="J45" i="23"/>
  <c r="K45" i="23"/>
  <c r="J46" i="23"/>
  <c r="K46" i="23"/>
  <c r="A53" i="26"/>
  <c r="K52" i="26"/>
  <c r="L52" i="26"/>
  <c r="K53" i="26"/>
  <c r="L53" i="26"/>
  <c r="K54" i="26"/>
  <c r="L54" i="26"/>
  <c r="A52" i="22"/>
  <c r="A48" i="12"/>
  <c r="J47" i="12"/>
  <c r="K47" i="12"/>
  <c r="J48" i="12"/>
  <c r="K48" i="12"/>
  <c r="J49" i="12"/>
  <c r="K49" i="12"/>
  <c r="A54" i="16" l="1"/>
  <c r="A52" i="27" l="1"/>
  <c r="A46" i="12" l="1"/>
  <c r="A47" i="12"/>
  <c r="K46" i="12" l="1"/>
  <c r="J46" i="12"/>
  <c r="L24" i="11" l="1"/>
  <c r="A40" i="31"/>
  <c r="A53" i="16" l="1"/>
  <c r="A52" i="16" l="1"/>
  <c r="A50" i="24"/>
  <c r="A49" i="2" l="1"/>
  <c r="A49" i="24"/>
  <c r="A52" i="17"/>
  <c r="A30" i="6"/>
  <c r="A51" i="15"/>
  <c r="J51" i="15"/>
  <c r="K51" i="15"/>
  <c r="J52" i="15"/>
  <c r="K52" i="15"/>
  <c r="A45" i="5" l="1"/>
  <c r="J45" i="5"/>
  <c r="K45" i="5"/>
  <c r="J46" i="5"/>
  <c r="K46" i="5"/>
  <c r="A60" i="3"/>
  <c r="K60" i="3"/>
  <c r="L60" i="3"/>
  <c r="K61" i="3"/>
  <c r="L61" i="3"/>
  <c r="A48" i="19"/>
  <c r="J43" i="19"/>
  <c r="K43" i="19"/>
  <c r="J44" i="19"/>
  <c r="K44" i="19"/>
  <c r="J45" i="19"/>
  <c r="K45" i="19"/>
  <c r="J46" i="19"/>
  <c r="K46" i="19"/>
  <c r="J47" i="19"/>
  <c r="K47" i="19"/>
  <c r="J48" i="19"/>
  <c r="K48" i="19"/>
  <c r="J49" i="19"/>
  <c r="K49" i="19"/>
  <c r="A40" i="7"/>
  <c r="J35" i="7"/>
  <c r="K35" i="7"/>
  <c r="J36" i="7"/>
  <c r="K36" i="7"/>
  <c r="J37" i="7"/>
  <c r="K37" i="7"/>
  <c r="J38" i="7"/>
  <c r="K38" i="7"/>
  <c r="J39" i="7"/>
  <c r="K39" i="7"/>
  <c r="J40" i="7"/>
  <c r="K40" i="7"/>
  <c r="J41" i="7"/>
  <c r="K41" i="7"/>
  <c r="A52" i="26" l="1"/>
  <c r="A51" i="17" l="1"/>
  <c r="A43" i="30"/>
  <c r="A39" i="8"/>
  <c r="A47" i="29"/>
  <c r="A48" i="29"/>
  <c r="J47" i="29"/>
  <c r="K47" i="29"/>
  <c r="J48" i="29"/>
  <c r="K48" i="29"/>
  <c r="J49" i="29"/>
  <c r="K49" i="29"/>
  <c r="J50" i="29"/>
  <c r="K50" i="29"/>
  <c r="J51" i="29"/>
  <c r="K51" i="29"/>
  <c r="A39" i="31" l="1"/>
  <c r="A45" i="12"/>
  <c r="J43" i="12"/>
  <c r="K43" i="12"/>
  <c r="J44" i="12"/>
  <c r="K44" i="12"/>
  <c r="J45" i="12"/>
  <c r="K45" i="12"/>
  <c r="A33" i="10"/>
  <c r="J33" i="10"/>
  <c r="K33" i="10"/>
  <c r="J34" i="10"/>
  <c r="K34" i="10"/>
  <c r="A45" i="29"/>
  <c r="A46" i="29"/>
  <c r="A44" i="5"/>
  <c r="K49" i="22"/>
  <c r="L49" i="22"/>
  <c r="K50" i="22"/>
  <c r="L50" i="22"/>
  <c r="K51" i="22"/>
  <c r="L51" i="22"/>
  <c r="K52" i="22"/>
  <c r="L52" i="22"/>
  <c r="A50" i="22"/>
  <c r="A51" i="22"/>
  <c r="A49" i="15"/>
  <c r="A50" i="15"/>
  <c r="A52" i="21"/>
  <c r="A51" i="27"/>
  <c r="K51" i="27"/>
  <c r="L51" i="27"/>
  <c r="K52" i="27"/>
  <c r="L52" i="27"/>
  <c r="A48" i="2"/>
  <c r="J46" i="2"/>
  <c r="J47" i="2"/>
  <c r="J48" i="2"/>
  <c r="A44" i="12" l="1"/>
  <c r="A47" i="2" l="1"/>
  <c r="A59" i="3" l="1"/>
  <c r="K59" i="3"/>
  <c r="L59" i="3"/>
  <c r="K23" i="11" l="1"/>
  <c r="L23" i="11"/>
  <c r="J58" i="3"/>
  <c r="K58" i="3"/>
  <c r="A58" i="3"/>
  <c r="A44" i="29"/>
  <c r="J43" i="29"/>
  <c r="K43" i="29"/>
  <c r="J44" i="29"/>
  <c r="K44" i="29"/>
  <c r="J45" i="29"/>
  <c r="K45" i="29"/>
  <c r="J46" i="29"/>
  <c r="K46" i="29"/>
  <c r="A43" i="5"/>
  <c r="A48" i="17"/>
  <c r="A49" i="17"/>
  <c r="A50" i="17"/>
  <c r="J49" i="17"/>
  <c r="K49" i="17"/>
  <c r="J50" i="17"/>
  <c r="K50" i="17"/>
  <c r="J51" i="17"/>
  <c r="K51" i="17"/>
  <c r="J52" i="17"/>
  <c r="K52" i="17"/>
  <c r="J53" i="17"/>
  <c r="K53" i="17"/>
  <c r="J54" i="17"/>
  <c r="K54" i="17"/>
  <c r="J55" i="17"/>
  <c r="K55" i="17"/>
  <c r="K48" i="17"/>
  <c r="J48" i="17"/>
  <c r="A50" i="21"/>
  <c r="A51" i="21"/>
  <c r="J51" i="21"/>
  <c r="J52" i="21"/>
  <c r="J53" i="21"/>
  <c r="J54" i="21"/>
  <c r="J55" i="21"/>
  <c r="J56" i="21"/>
  <c r="J50" i="21"/>
  <c r="A46" i="20"/>
  <c r="A47" i="20"/>
  <c r="K46" i="20"/>
  <c r="L46" i="20"/>
  <c r="K47" i="20"/>
  <c r="L47" i="20"/>
  <c r="K48" i="20"/>
  <c r="L48" i="20"/>
  <c r="K49" i="20"/>
  <c r="L49" i="20"/>
  <c r="K50" i="20"/>
  <c r="L50" i="20"/>
  <c r="A42" i="30" l="1"/>
  <c r="A48" i="24"/>
  <c r="A42" i="5"/>
  <c r="J41" i="5"/>
  <c r="K41" i="5"/>
  <c r="J42" i="5"/>
  <c r="K42" i="5"/>
  <c r="J43" i="5"/>
  <c r="K43" i="5"/>
  <c r="J44" i="5"/>
  <c r="K44" i="5"/>
  <c r="A37" i="8" l="1"/>
  <c r="A38" i="8"/>
  <c r="A48" i="15"/>
  <c r="J47" i="15"/>
  <c r="K47" i="15"/>
  <c r="J48" i="15"/>
  <c r="K48" i="15"/>
  <c r="J49" i="15"/>
  <c r="K49" i="15"/>
  <c r="J50" i="15"/>
  <c r="K50" i="15"/>
  <c r="A50" i="27" l="1"/>
  <c r="A32" i="10"/>
  <c r="A43" i="12" l="1"/>
  <c r="A8" i="8" l="1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49" i="27" l="1"/>
  <c r="K47" i="27"/>
  <c r="L47" i="27"/>
  <c r="K48" i="27"/>
  <c r="L48" i="27"/>
  <c r="K49" i="27"/>
  <c r="L49" i="27"/>
  <c r="K50" i="27"/>
  <c r="L50" i="27"/>
  <c r="A49" i="21"/>
  <c r="A31" i="10"/>
  <c r="A47" i="4" l="1"/>
  <c r="A50" i="28" l="1"/>
  <c r="A51" i="28"/>
  <c r="A52" i="28"/>
  <c r="A53" i="28"/>
  <c r="A54" i="28"/>
  <c r="K51" i="28"/>
  <c r="L51" i="28"/>
  <c r="K52" i="28"/>
  <c r="L52" i="28"/>
  <c r="K53" i="28"/>
  <c r="L53" i="28"/>
  <c r="K54" i="28"/>
  <c r="L54" i="28"/>
  <c r="K55" i="28"/>
  <c r="L55" i="28"/>
  <c r="K56" i="28"/>
  <c r="L56" i="28"/>
  <c r="A24" i="25"/>
  <c r="K25" i="25"/>
  <c r="L25" i="25"/>
  <c r="A47" i="19" l="1"/>
  <c r="A29" i="6" l="1"/>
  <c r="A38" i="31"/>
  <c r="J36" i="31"/>
  <c r="K36" i="31"/>
  <c r="J37" i="31"/>
  <c r="K37" i="31"/>
  <c r="J38" i="31"/>
  <c r="K38" i="31"/>
  <c r="J39" i="31"/>
  <c r="K39" i="31"/>
  <c r="J40" i="31"/>
  <c r="K40" i="31"/>
  <c r="A41" i="30"/>
  <c r="J38" i="30"/>
  <c r="K38" i="30"/>
  <c r="J39" i="30"/>
  <c r="K39" i="30"/>
  <c r="J40" i="30"/>
  <c r="K40" i="30"/>
  <c r="J41" i="30"/>
  <c r="K41" i="30"/>
  <c r="J42" i="30"/>
  <c r="K42" i="30"/>
  <c r="J43" i="30"/>
  <c r="K43" i="30"/>
  <c r="J44" i="30"/>
  <c r="K44" i="30"/>
  <c r="A47" i="27"/>
  <c r="A48" i="27"/>
  <c r="A48" i="28"/>
  <c r="A49" i="28"/>
  <c r="K49" i="28"/>
  <c r="L49" i="28"/>
  <c r="K50" i="28"/>
  <c r="L50" i="28"/>
  <c r="A48" i="21"/>
  <c r="K45" i="24"/>
  <c r="L45" i="24"/>
  <c r="K46" i="24"/>
  <c r="L46" i="24"/>
  <c r="K47" i="24"/>
  <c r="L47" i="24"/>
  <c r="K48" i="24"/>
  <c r="L48" i="24"/>
  <c r="K49" i="24"/>
  <c r="L49" i="24"/>
  <c r="K50" i="24"/>
  <c r="L50" i="24"/>
  <c r="K51" i="24"/>
  <c r="L51" i="24"/>
  <c r="A47" i="24" l="1"/>
  <c r="A21" i="12" l="1"/>
  <c r="A41" i="5" l="1"/>
  <c r="A47" i="21" l="1"/>
  <c r="A28" i="6"/>
  <c r="J28" i="6"/>
  <c r="K28" i="6"/>
  <c r="J29" i="6"/>
  <c r="K29" i="6"/>
  <c r="J30" i="6"/>
  <c r="K30" i="6"/>
  <c r="J31" i="6"/>
  <c r="K31" i="6"/>
  <c r="A40" i="5"/>
  <c r="J36" i="5"/>
  <c r="K36" i="5"/>
  <c r="J37" i="5"/>
  <c r="K37" i="5"/>
  <c r="J38" i="5"/>
  <c r="K38" i="5"/>
  <c r="J39" i="5"/>
  <c r="K39" i="5"/>
  <c r="J40" i="5"/>
  <c r="K40" i="5"/>
  <c r="A39" i="7" l="1"/>
  <c r="A46" i="19"/>
  <c r="A46" i="24" l="1"/>
  <c r="A38" i="7" l="1"/>
  <c r="A36" i="31"/>
  <c r="A37" i="31"/>
  <c r="A51" i="16" l="1"/>
  <c r="A39" i="5" l="1"/>
  <c r="A37" i="7" l="1"/>
  <c r="A42" i="12" l="1"/>
  <c r="J33" i="31"/>
  <c r="K33" i="31"/>
  <c r="J34" i="31"/>
  <c r="K34" i="31"/>
  <c r="J35" i="31"/>
  <c r="K35" i="31"/>
  <c r="A30" i="10"/>
  <c r="A46" i="2"/>
  <c r="K45" i="2"/>
  <c r="A40" i="12"/>
  <c r="A41" i="12"/>
  <c r="J41" i="12"/>
  <c r="K41" i="12"/>
  <c r="J42" i="12"/>
  <c r="K42" i="12"/>
  <c r="A51" i="26"/>
  <c r="A45" i="20"/>
  <c r="A29" i="10"/>
  <c r="J29" i="10"/>
  <c r="K29" i="10"/>
  <c r="J30" i="10"/>
  <c r="K30" i="10"/>
  <c r="J31" i="10"/>
  <c r="K31" i="10"/>
  <c r="J32" i="10"/>
  <c r="K32" i="10"/>
  <c r="A57" i="3"/>
  <c r="A37" i="12" l="1"/>
  <c r="A38" i="12"/>
  <c r="A39" i="12"/>
  <c r="J37" i="12"/>
  <c r="K37" i="12"/>
  <c r="J38" i="12"/>
  <c r="K38" i="12"/>
  <c r="J39" i="12"/>
  <c r="K39" i="12"/>
  <c r="J40" i="12"/>
  <c r="K40" i="12"/>
  <c r="A50" i="16" l="1"/>
  <c r="A36" i="7" l="1"/>
  <c r="A49" i="22" l="1"/>
  <c r="A46" i="26"/>
  <c r="A47" i="26"/>
  <c r="A48" i="26"/>
  <c r="A49" i="26"/>
  <c r="A50" i="26"/>
  <c r="A47" i="28"/>
  <c r="A47" i="15" l="1"/>
  <c r="A35" i="7" l="1"/>
  <c r="A35" i="31" l="1"/>
  <c r="A34" i="7"/>
  <c r="J34" i="7"/>
  <c r="K34" i="7"/>
  <c r="A40" i="30"/>
  <c r="A39" i="30"/>
  <c r="A36" i="5"/>
  <c r="A37" i="5"/>
  <c r="A38" i="5"/>
  <c r="A34" i="31"/>
  <c r="A33" i="7"/>
  <c r="A44" i="20" l="1"/>
  <c r="A33" i="31" l="1"/>
  <c r="A26" i="6" l="1"/>
  <c r="A27" i="6"/>
  <c r="A32" i="31"/>
  <c r="A35" i="12" l="1"/>
  <c r="A36" i="12"/>
  <c r="J36" i="12"/>
  <c r="K36" i="12"/>
  <c r="J28" i="10"/>
  <c r="K28" i="10"/>
  <c r="A56" i="3"/>
  <c r="J57" i="3"/>
  <c r="K57" i="3"/>
  <c r="A35" i="5"/>
  <c r="A46" i="15" l="1"/>
  <c r="J37" i="15"/>
  <c r="K37" i="15"/>
  <c r="J38" i="15"/>
  <c r="K38" i="15"/>
  <c r="J39" i="15"/>
  <c r="K39" i="15"/>
  <c r="J40" i="15"/>
  <c r="K40" i="15"/>
  <c r="J41" i="15"/>
  <c r="K41" i="15"/>
  <c r="J42" i="15"/>
  <c r="K42" i="15"/>
  <c r="J43" i="15"/>
  <c r="K43" i="15"/>
  <c r="J44" i="15"/>
  <c r="K44" i="15"/>
  <c r="J45" i="15"/>
  <c r="K45" i="15"/>
  <c r="J46" i="15"/>
  <c r="K46" i="15"/>
  <c r="J36" i="15"/>
  <c r="A48" i="22"/>
  <c r="K48" i="22"/>
  <c r="L48" i="22"/>
  <c r="K46" i="26"/>
  <c r="L46" i="26"/>
  <c r="K47" i="26"/>
  <c r="L47" i="26"/>
  <c r="K48" i="26"/>
  <c r="L48" i="26"/>
  <c r="K49" i="26"/>
  <c r="L49" i="26"/>
  <c r="K50" i="26"/>
  <c r="L50" i="26"/>
  <c r="K51" i="26"/>
  <c r="L51" i="26"/>
  <c r="A47" i="22"/>
  <c r="K44" i="27"/>
  <c r="L44" i="27"/>
  <c r="K45" i="27"/>
  <c r="L45" i="27"/>
  <c r="K46" i="27"/>
  <c r="L46" i="27"/>
  <c r="A44" i="27"/>
  <c r="A45" i="27"/>
  <c r="A46" i="27"/>
  <c r="A43" i="20"/>
  <c r="A22" i="25"/>
  <c r="A23" i="25"/>
  <c r="K22" i="25"/>
  <c r="L22" i="25"/>
  <c r="K23" i="25"/>
  <c r="L23" i="25"/>
  <c r="K24" i="25"/>
  <c r="L24" i="25"/>
  <c r="K26" i="25"/>
  <c r="L26" i="25"/>
  <c r="A32" i="7" l="1"/>
  <c r="A30" i="7" l="1"/>
  <c r="A31" i="7"/>
  <c r="K32" i="31"/>
  <c r="J32" i="31"/>
  <c r="K31" i="31"/>
  <c r="J31" i="31"/>
  <c r="A31" i="31"/>
  <c r="K30" i="31"/>
  <c r="J30" i="31"/>
  <c r="A30" i="31"/>
  <c r="K29" i="31"/>
  <c r="J29" i="31"/>
  <c r="A29" i="31"/>
  <c r="K28" i="31"/>
  <c r="J28" i="31"/>
  <c r="A28" i="31"/>
  <c r="K27" i="31"/>
  <c r="J27" i="31"/>
  <c r="A27" i="31"/>
  <c r="K26" i="31"/>
  <c r="A26" i="31"/>
  <c r="K25" i="31"/>
  <c r="A25" i="31"/>
  <c r="K24" i="31"/>
  <c r="A24" i="31"/>
  <c r="K23" i="31"/>
  <c r="A23" i="31"/>
  <c r="K22" i="31"/>
  <c r="A22" i="31"/>
  <c r="A21" i="31"/>
  <c r="A20" i="31"/>
  <c r="A19" i="31"/>
  <c r="A18" i="31"/>
  <c r="J17" i="31"/>
  <c r="A17" i="31"/>
  <c r="J16" i="31"/>
  <c r="A16" i="31"/>
  <c r="A15" i="31"/>
  <c r="A14" i="31"/>
  <c r="A13" i="31"/>
  <c r="J12" i="31"/>
  <c r="A12" i="31"/>
  <c r="A11" i="31"/>
  <c r="A10" i="31"/>
  <c r="A9" i="31"/>
  <c r="A8" i="31"/>
  <c r="A7" i="31"/>
  <c r="A38" i="30" l="1"/>
  <c r="A41" i="27" l="1"/>
  <c r="A42" i="27"/>
  <c r="A43" i="27"/>
  <c r="K37" i="30" l="1"/>
  <c r="J37" i="30"/>
  <c r="A37" i="30"/>
  <c r="J36" i="30"/>
  <c r="A36" i="30"/>
  <c r="J35" i="30"/>
  <c r="A35" i="30"/>
  <c r="J34" i="30"/>
  <c r="A34" i="30"/>
  <c r="J33" i="30"/>
  <c r="A33" i="30"/>
  <c r="J32" i="30"/>
  <c r="A32" i="30"/>
  <c r="J31" i="30"/>
  <c r="A31" i="30"/>
  <c r="J30" i="30"/>
  <c r="A30" i="30"/>
  <c r="J29" i="30"/>
  <c r="A29" i="30"/>
  <c r="J28" i="30"/>
  <c r="A28" i="30"/>
  <c r="J27" i="30"/>
  <c r="A27" i="30"/>
  <c r="J26" i="30"/>
  <c r="A26" i="30"/>
  <c r="J25" i="30"/>
  <c r="A25" i="30"/>
  <c r="J24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A10" i="30"/>
  <c r="A9" i="30"/>
  <c r="A8" i="30"/>
  <c r="A7" i="30"/>
  <c r="A29" i="7" l="1"/>
  <c r="A34" i="5"/>
  <c r="J33" i="5"/>
  <c r="K33" i="5"/>
  <c r="J34" i="5"/>
  <c r="K34" i="5"/>
  <c r="J35" i="5"/>
  <c r="K35" i="5"/>
  <c r="A45" i="28"/>
  <c r="A46" i="28"/>
  <c r="K45" i="28"/>
  <c r="L45" i="28"/>
  <c r="K46" i="28"/>
  <c r="L46" i="28"/>
  <c r="K47" i="28"/>
  <c r="L47" i="28"/>
  <c r="K48" i="28"/>
  <c r="L48" i="28"/>
  <c r="A46" i="22"/>
  <c r="K45" i="22"/>
  <c r="L45" i="22"/>
  <c r="K46" i="22"/>
  <c r="L46" i="22"/>
  <c r="K47" i="22"/>
  <c r="L47" i="22"/>
  <c r="K42" i="27"/>
  <c r="L42" i="27"/>
  <c r="K43" i="27"/>
  <c r="L43" i="27"/>
  <c r="A8" i="10" l="1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5" i="6" l="1"/>
  <c r="J24" i="6"/>
  <c r="K24" i="6"/>
  <c r="J25" i="6"/>
  <c r="K25" i="6"/>
  <c r="J26" i="6"/>
  <c r="K26" i="6"/>
  <c r="J27" i="6"/>
  <c r="K27" i="6"/>
  <c r="A28" i="7"/>
  <c r="J28" i="7"/>
  <c r="K28" i="7"/>
  <c r="J29" i="7"/>
  <c r="K29" i="7"/>
  <c r="J30" i="7"/>
  <c r="K30" i="7"/>
  <c r="J31" i="7"/>
  <c r="K31" i="7"/>
  <c r="J32" i="7"/>
  <c r="K32" i="7"/>
  <c r="A33" i="12"/>
  <c r="A34" i="12"/>
  <c r="J33" i="12"/>
  <c r="K33" i="12"/>
  <c r="J34" i="12"/>
  <c r="K34" i="12"/>
  <c r="J35" i="12"/>
  <c r="K35" i="12"/>
  <c r="K20" i="11"/>
  <c r="L20" i="11"/>
  <c r="K21" i="11"/>
  <c r="L21" i="11"/>
  <c r="K22" i="11"/>
  <c r="L22" i="11"/>
  <c r="A40" i="27"/>
  <c r="A42" i="20"/>
  <c r="K39" i="20"/>
  <c r="L39" i="20"/>
  <c r="K40" i="20"/>
  <c r="L40" i="20"/>
  <c r="K41" i="20"/>
  <c r="L41" i="20"/>
  <c r="K42" i="20"/>
  <c r="L42" i="20"/>
  <c r="K43" i="20"/>
  <c r="L43" i="20"/>
  <c r="K44" i="20"/>
  <c r="L44" i="20"/>
  <c r="K45" i="20"/>
  <c r="L45" i="20"/>
  <c r="A45" i="22" l="1"/>
  <c r="A19" i="21" l="1"/>
  <c r="A45" i="2"/>
  <c r="A27" i="7" l="1"/>
  <c r="A33" i="5" l="1"/>
  <c r="A54" i="3" l="1"/>
  <c r="A55" i="3"/>
  <c r="J55" i="3"/>
  <c r="K55" i="3"/>
  <c r="J56" i="3"/>
  <c r="K56" i="3"/>
  <c r="A31" i="5"/>
  <c r="A32" i="5"/>
  <c r="K36" i="28"/>
  <c r="L36" i="28"/>
  <c r="K37" i="28"/>
  <c r="L37" i="28"/>
  <c r="K38" i="28"/>
  <c r="L38" i="28"/>
  <c r="K39" i="28"/>
  <c r="L39" i="28"/>
  <c r="K40" i="28"/>
  <c r="L40" i="28"/>
  <c r="K41" i="28"/>
  <c r="L41" i="28"/>
  <c r="A36" i="28"/>
  <c r="A37" i="28"/>
  <c r="A38" i="28"/>
  <c r="A39" i="28"/>
  <c r="A40" i="28"/>
  <c r="A36" i="27"/>
  <c r="A37" i="27"/>
  <c r="A38" i="27"/>
  <c r="A39" i="27"/>
  <c r="A21" i="25"/>
  <c r="A49" i="16" l="1"/>
  <c r="A45" i="24"/>
  <c r="A25" i="7" l="1"/>
  <c r="A26" i="7"/>
  <c r="A53" i="3"/>
  <c r="J14" i="29"/>
  <c r="J15" i="29"/>
  <c r="J16" i="29"/>
  <c r="J17" i="29"/>
  <c r="J18" i="29"/>
  <c r="J19" i="29"/>
  <c r="J20" i="29"/>
  <c r="A32" i="27"/>
  <c r="A33" i="27"/>
  <c r="A34" i="27"/>
  <c r="A35" i="27"/>
  <c r="K33" i="27"/>
  <c r="L33" i="27"/>
  <c r="K34" i="27"/>
  <c r="L34" i="27"/>
  <c r="K35" i="27"/>
  <c r="L35" i="27"/>
  <c r="K36" i="27"/>
  <c r="L36" i="27"/>
  <c r="K37" i="27"/>
  <c r="L37" i="27"/>
  <c r="K38" i="27"/>
  <c r="L38" i="27"/>
  <c r="K39" i="27"/>
  <c r="L39" i="27"/>
  <c r="K40" i="27"/>
  <c r="L40" i="27"/>
  <c r="K41" i="27"/>
  <c r="L41" i="27"/>
  <c r="A20" i="25"/>
  <c r="A22" i="22" l="1"/>
  <c r="J31" i="8" l="1"/>
  <c r="K31" i="8"/>
  <c r="J32" i="8"/>
  <c r="K32" i="8"/>
  <c r="J33" i="8"/>
  <c r="K33" i="8"/>
  <c r="K34" i="8"/>
  <c r="J35" i="8"/>
  <c r="K35" i="8"/>
  <c r="J36" i="8"/>
  <c r="K36" i="8"/>
  <c r="J37" i="8"/>
  <c r="K37" i="8"/>
  <c r="J38" i="8"/>
  <c r="K38" i="8"/>
  <c r="J39" i="8"/>
  <c r="K39" i="8"/>
  <c r="A23" i="7"/>
  <c r="A24" i="7"/>
  <c r="J27" i="7"/>
  <c r="K27" i="7"/>
  <c r="A31" i="12"/>
  <c r="A32" i="12"/>
  <c r="A28" i="10"/>
  <c r="K30" i="5"/>
  <c r="J32" i="5"/>
  <c r="K31" i="5"/>
  <c r="K32" i="5"/>
  <c r="J33" i="9"/>
  <c r="K33" i="9"/>
  <c r="A27" i="27"/>
  <c r="A28" i="27"/>
  <c r="A29" i="27"/>
  <c r="A30" i="27"/>
  <c r="A31" i="27"/>
  <c r="K28" i="27"/>
  <c r="L28" i="27"/>
  <c r="K29" i="27"/>
  <c r="L29" i="27"/>
  <c r="K30" i="27"/>
  <c r="L30" i="27"/>
  <c r="K31" i="27"/>
  <c r="L31" i="27"/>
  <c r="K32" i="27"/>
  <c r="L32" i="27"/>
  <c r="H62" i="21" l="1"/>
  <c r="A45" i="23" l="1"/>
  <c r="A44" i="23" l="1"/>
  <c r="A24" i="6"/>
  <c r="A21" i="7" l="1"/>
  <c r="A22" i="7"/>
  <c r="A30" i="12"/>
  <c r="J24" i="10"/>
  <c r="K24" i="10"/>
  <c r="J25" i="10"/>
  <c r="K25" i="10"/>
  <c r="J26" i="10"/>
  <c r="K26" i="10"/>
  <c r="J27" i="10"/>
  <c r="K27" i="10"/>
  <c r="J51" i="3"/>
  <c r="K51" i="3"/>
  <c r="J52" i="3"/>
  <c r="K52" i="3"/>
  <c r="J53" i="3"/>
  <c r="K53" i="3"/>
  <c r="J54" i="3"/>
  <c r="K54" i="3"/>
  <c r="A51" i="3"/>
  <c r="A52" i="3"/>
  <c r="A43" i="29"/>
  <c r="K42" i="29"/>
  <c r="J42" i="29"/>
  <c r="A42" i="29"/>
  <c r="K41" i="29"/>
  <c r="J41" i="29"/>
  <c r="A41" i="29"/>
  <c r="K40" i="29"/>
  <c r="J40" i="29"/>
  <c r="A40" i="29"/>
  <c r="K39" i="29"/>
  <c r="J39" i="29"/>
  <c r="A39" i="29"/>
  <c r="K38" i="29"/>
  <c r="J38" i="29"/>
  <c r="A38" i="29"/>
  <c r="K37" i="29"/>
  <c r="J37" i="29"/>
  <c r="A37" i="29"/>
  <c r="K36" i="29"/>
  <c r="J36" i="29"/>
  <c r="A36" i="29"/>
  <c r="K35" i="29"/>
  <c r="J35" i="29"/>
  <c r="A35" i="29"/>
  <c r="K34" i="29"/>
  <c r="J34" i="29"/>
  <c r="A34" i="29"/>
  <c r="K33" i="29"/>
  <c r="J33" i="29"/>
  <c r="A33" i="29"/>
  <c r="K32" i="29"/>
  <c r="J32" i="29"/>
  <c r="A32" i="29"/>
  <c r="K31" i="29"/>
  <c r="J31" i="29"/>
  <c r="A31" i="29"/>
  <c r="K30" i="29"/>
  <c r="J30" i="29"/>
  <c r="A30" i="29"/>
  <c r="K29" i="29"/>
  <c r="J29" i="29"/>
  <c r="A29" i="29"/>
  <c r="K28" i="29"/>
  <c r="J28" i="29"/>
  <c r="A28" i="29"/>
  <c r="K27" i="29"/>
  <c r="J27" i="29"/>
  <c r="A27" i="29"/>
  <c r="K26" i="29"/>
  <c r="J26" i="29"/>
  <c r="A26" i="29"/>
  <c r="K25" i="29"/>
  <c r="J25" i="29"/>
  <c r="A25" i="29"/>
  <c r="K24" i="29"/>
  <c r="J24" i="29"/>
  <c r="A24" i="29"/>
  <c r="K23" i="29"/>
  <c r="J23" i="29"/>
  <c r="A23" i="29"/>
  <c r="K22" i="29"/>
  <c r="J22" i="29"/>
  <c r="A22" i="29"/>
  <c r="K21" i="29"/>
  <c r="J21" i="29"/>
  <c r="A21" i="29"/>
  <c r="K20" i="29"/>
  <c r="A20" i="29"/>
  <c r="K19" i="29"/>
  <c r="A19" i="29"/>
  <c r="K18" i="29"/>
  <c r="A18" i="29"/>
  <c r="K17" i="29"/>
  <c r="A17" i="29"/>
  <c r="K16" i="29"/>
  <c r="A16" i="29"/>
  <c r="K15" i="29"/>
  <c r="A15" i="29"/>
  <c r="K14" i="29"/>
  <c r="A14" i="29"/>
  <c r="M13" i="29"/>
  <c r="K13" i="29"/>
  <c r="J13" i="29"/>
  <c r="A13" i="29"/>
  <c r="K12" i="29"/>
  <c r="J12" i="29"/>
  <c r="A12" i="29"/>
  <c r="K11" i="29"/>
  <c r="J11" i="29"/>
  <c r="A11" i="29"/>
  <c r="K10" i="29"/>
  <c r="J10" i="29"/>
  <c r="A10" i="29"/>
  <c r="K9" i="29"/>
  <c r="J9" i="29"/>
  <c r="A9" i="29"/>
  <c r="K8" i="29"/>
  <c r="J8" i="29"/>
  <c r="A8" i="29"/>
  <c r="K7" i="29"/>
  <c r="J7" i="29"/>
  <c r="A7" i="29"/>
  <c r="A28" i="5"/>
  <c r="A29" i="5"/>
  <c r="A30" i="5"/>
  <c r="A24" i="27"/>
  <c r="A25" i="27"/>
  <c r="A26" i="27"/>
  <c r="K23" i="27"/>
  <c r="L23" i="27"/>
  <c r="K24" i="27"/>
  <c r="L24" i="27"/>
  <c r="K25" i="27"/>
  <c r="L25" i="27"/>
  <c r="K26" i="27"/>
  <c r="L26" i="27"/>
  <c r="K27" i="27"/>
  <c r="L27" i="27"/>
  <c r="A42" i="23"/>
  <c r="A43" i="23"/>
  <c r="J43" i="23"/>
  <c r="K43" i="23"/>
  <c r="A31" i="9"/>
  <c r="A32" i="9"/>
  <c r="A33" i="9"/>
  <c r="K12" i="28"/>
  <c r="L12" i="28"/>
  <c r="K13" i="28"/>
  <c r="L13" i="28"/>
  <c r="A19" i="25"/>
  <c r="K19" i="25"/>
  <c r="L19" i="25"/>
  <c r="K20" i="25"/>
  <c r="L20" i="25"/>
  <c r="K21" i="25"/>
  <c r="L21" i="25"/>
  <c r="A46" i="21" l="1"/>
  <c r="A47" i="16" l="1"/>
  <c r="A48" i="16"/>
  <c r="A23" i="6" l="1"/>
  <c r="J23" i="6"/>
  <c r="K23" i="6"/>
  <c r="A19" i="7"/>
  <c r="A20" i="7"/>
  <c r="J25" i="7"/>
  <c r="K25" i="7"/>
  <c r="J26" i="7"/>
  <c r="K26" i="7"/>
  <c r="J50" i="3"/>
  <c r="K50" i="3"/>
  <c r="A40" i="23"/>
  <c r="A41" i="23"/>
  <c r="A27" i="5"/>
  <c r="A26" i="12"/>
  <c r="A27" i="12"/>
  <c r="A28" i="12"/>
  <c r="A29" i="12"/>
  <c r="J27" i="12"/>
  <c r="K27" i="12"/>
  <c r="J28" i="12"/>
  <c r="K28" i="12"/>
  <c r="J29" i="12"/>
  <c r="K29" i="12"/>
  <c r="J30" i="12"/>
  <c r="K30" i="12"/>
  <c r="J31" i="12"/>
  <c r="K31" i="12"/>
  <c r="J32" i="12"/>
  <c r="K32" i="12"/>
  <c r="K26" i="12"/>
  <c r="J26" i="12"/>
  <c r="K18" i="11"/>
  <c r="L18" i="11"/>
  <c r="K19" i="11"/>
  <c r="L19" i="11"/>
  <c r="A49" i="3"/>
  <c r="A50" i="3"/>
  <c r="J35" i="23"/>
  <c r="K35" i="23"/>
  <c r="J36" i="23"/>
  <c r="K36" i="23"/>
  <c r="J37" i="23"/>
  <c r="K37" i="23"/>
  <c r="J38" i="23"/>
  <c r="K38" i="23"/>
  <c r="J39" i="23"/>
  <c r="K39" i="23"/>
  <c r="J40" i="23"/>
  <c r="K40" i="23"/>
  <c r="J41" i="23"/>
  <c r="K41" i="23"/>
  <c r="J42" i="23"/>
  <c r="K42" i="23"/>
  <c r="A33" i="23"/>
  <c r="A34" i="23"/>
  <c r="A35" i="23"/>
  <c r="A36" i="23"/>
  <c r="A37" i="23"/>
  <c r="A38" i="23"/>
  <c r="A39" i="23"/>
  <c r="A24" i="5"/>
  <c r="A25" i="5"/>
  <c r="A26" i="5"/>
  <c r="J27" i="5"/>
  <c r="K23" i="5"/>
  <c r="J28" i="5"/>
  <c r="K24" i="5"/>
  <c r="K25" i="5"/>
  <c r="J29" i="5"/>
  <c r="K26" i="5"/>
  <c r="J30" i="5"/>
  <c r="K27" i="5"/>
  <c r="J31" i="5"/>
  <c r="K28" i="5"/>
  <c r="K29" i="5"/>
  <c r="A29" i="9"/>
  <c r="A30" i="9"/>
  <c r="J30" i="9"/>
  <c r="K30" i="9"/>
  <c r="J31" i="9"/>
  <c r="K31" i="9"/>
  <c r="J32" i="9"/>
  <c r="K32" i="9"/>
  <c r="A43" i="26"/>
  <c r="A44" i="26"/>
  <c r="A45" i="26"/>
  <c r="K43" i="26"/>
  <c r="L43" i="26"/>
  <c r="K44" i="26"/>
  <c r="L44" i="26"/>
  <c r="K45" i="26"/>
  <c r="L45" i="26"/>
  <c r="L44" i="28"/>
  <c r="K44" i="28"/>
  <c r="A44" i="28"/>
  <c r="L43" i="28"/>
  <c r="K43" i="28"/>
  <c r="A43" i="28"/>
  <c r="L42" i="28"/>
  <c r="K42" i="28"/>
  <c r="A42" i="28"/>
  <c r="A41" i="28"/>
  <c r="L35" i="28"/>
  <c r="K35" i="28"/>
  <c r="A35" i="28"/>
  <c r="L34" i="28"/>
  <c r="K34" i="28"/>
  <c r="A34" i="28"/>
  <c r="L33" i="28"/>
  <c r="K33" i="28"/>
  <c r="A33" i="28"/>
  <c r="L32" i="28"/>
  <c r="K32" i="28"/>
  <c r="A32" i="28"/>
  <c r="L31" i="28"/>
  <c r="K31" i="28"/>
  <c r="A31" i="28"/>
  <c r="L30" i="28"/>
  <c r="K30" i="28"/>
  <c r="A30" i="28"/>
  <c r="L29" i="28"/>
  <c r="K29" i="28"/>
  <c r="A29" i="28"/>
  <c r="L28" i="28"/>
  <c r="K28" i="28"/>
  <c r="A28" i="28"/>
  <c r="L27" i="28"/>
  <c r="K27" i="28"/>
  <c r="A27" i="28"/>
  <c r="L26" i="28"/>
  <c r="K26" i="28"/>
  <c r="A26" i="28"/>
  <c r="L25" i="28"/>
  <c r="K25" i="28"/>
  <c r="A25" i="28"/>
  <c r="L24" i="28"/>
  <c r="K24" i="28"/>
  <c r="A24" i="28"/>
  <c r="L23" i="28"/>
  <c r="K23" i="28"/>
  <c r="A23" i="28"/>
  <c r="L22" i="28"/>
  <c r="K22" i="28"/>
  <c r="A22" i="28"/>
  <c r="L21" i="28"/>
  <c r="K21" i="28"/>
  <c r="A21" i="28"/>
  <c r="L20" i="28"/>
  <c r="K20" i="28"/>
  <c r="A20" i="28"/>
  <c r="L19" i="28"/>
  <c r="K19" i="28"/>
  <c r="A19" i="28"/>
  <c r="L18" i="28"/>
  <c r="K18" i="28"/>
  <c r="A18" i="28"/>
  <c r="L17" i="28"/>
  <c r="K17" i="28"/>
  <c r="A17" i="28"/>
  <c r="L16" i="28"/>
  <c r="K16" i="28"/>
  <c r="A16" i="28"/>
  <c r="L15" i="28"/>
  <c r="K15" i="28"/>
  <c r="A15" i="28"/>
  <c r="L14" i="28"/>
  <c r="K14" i="28"/>
  <c r="A14" i="28"/>
  <c r="A13" i="28"/>
  <c r="A12" i="28"/>
  <c r="L11" i="28"/>
  <c r="K11" i="28"/>
  <c r="A11" i="28"/>
  <c r="L10" i="28"/>
  <c r="K10" i="28"/>
  <c r="A10" i="28"/>
  <c r="L9" i="28"/>
  <c r="K9" i="28"/>
  <c r="A9" i="28"/>
  <c r="L8" i="28"/>
  <c r="K8" i="28"/>
  <c r="A8" i="28"/>
  <c r="L7" i="28"/>
  <c r="K7" i="28"/>
  <c r="A7" i="28"/>
  <c r="K18" i="27"/>
  <c r="L18" i="27"/>
  <c r="K19" i="27"/>
  <c r="L19" i="27"/>
  <c r="K20" i="27"/>
  <c r="L20" i="27"/>
  <c r="K21" i="27"/>
  <c r="L21" i="27"/>
  <c r="K22" i="27"/>
  <c r="L22" i="27"/>
  <c r="A23" i="5" l="1"/>
  <c r="K42" i="26" l="1"/>
  <c r="L42" i="26"/>
  <c r="A42" i="26"/>
  <c r="J22" i="10"/>
  <c r="K22" i="10"/>
  <c r="J23" i="10"/>
  <c r="K23" i="10"/>
  <c r="A41" i="26" l="1"/>
  <c r="A47" i="3" l="1"/>
  <c r="A48" i="3"/>
  <c r="J47" i="3"/>
  <c r="K47" i="3"/>
  <c r="J48" i="3"/>
  <c r="K48" i="3"/>
  <c r="J49" i="3"/>
  <c r="K49" i="3"/>
  <c r="A31" i="23"/>
  <c r="A32" i="23"/>
  <c r="J31" i="23"/>
  <c r="K31" i="23"/>
  <c r="J32" i="23"/>
  <c r="K32" i="23"/>
  <c r="J33" i="23"/>
  <c r="K33" i="23"/>
  <c r="J34" i="23"/>
  <c r="K34" i="23"/>
  <c r="A28" i="9"/>
  <c r="K21" i="10" l="1"/>
  <c r="J21" i="10"/>
  <c r="A23" i="27" l="1"/>
  <c r="A22" i="27"/>
  <c r="A21" i="27"/>
  <c r="A20" i="27"/>
  <c r="A19" i="27"/>
  <c r="A18" i="27"/>
  <c r="L17" i="27"/>
  <c r="K17" i="27"/>
  <c r="A17" i="27"/>
  <c r="L16" i="27"/>
  <c r="K16" i="27"/>
  <c r="A16" i="27"/>
  <c r="L15" i="27"/>
  <c r="K15" i="27"/>
  <c r="A15" i="27"/>
  <c r="L14" i="27"/>
  <c r="K14" i="27"/>
  <c r="A14" i="27"/>
  <c r="L13" i="27"/>
  <c r="K13" i="27"/>
  <c r="A13" i="27"/>
  <c r="L12" i="27"/>
  <c r="K12" i="27"/>
  <c r="A12" i="27"/>
  <c r="L11" i="27"/>
  <c r="K11" i="27"/>
  <c r="A11" i="27"/>
  <c r="L10" i="27"/>
  <c r="K10" i="27"/>
  <c r="A10" i="27"/>
  <c r="L9" i="27"/>
  <c r="K9" i="27"/>
  <c r="A9" i="27"/>
  <c r="L8" i="27"/>
  <c r="K8" i="27"/>
  <c r="A8" i="27"/>
  <c r="L7" i="27"/>
  <c r="K7" i="27"/>
  <c r="A7" i="27"/>
  <c r="L41" i="26"/>
  <c r="K41" i="26"/>
  <c r="L40" i="26"/>
  <c r="K40" i="26"/>
  <c r="A40" i="26"/>
  <c r="L39" i="26"/>
  <c r="K39" i="26"/>
  <c r="A39" i="26"/>
  <c r="L38" i="26"/>
  <c r="K38" i="26"/>
  <c r="A38" i="26"/>
  <c r="L37" i="26"/>
  <c r="K37" i="26"/>
  <c r="A37" i="26"/>
  <c r="L36" i="26"/>
  <c r="K36" i="26"/>
  <c r="A36" i="26"/>
  <c r="L35" i="26"/>
  <c r="K35" i="26"/>
  <c r="A35" i="26"/>
  <c r="L34" i="26"/>
  <c r="K34" i="26"/>
  <c r="A34" i="26"/>
  <c r="L33" i="26"/>
  <c r="K33" i="26"/>
  <c r="A33" i="26"/>
  <c r="L32" i="26"/>
  <c r="K32" i="26"/>
  <c r="A32" i="26"/>
  <c r="L31" i="26"/>
  <c r="K31" i="26"/>
  <c r="A31" i="26"/>
  <c r="L30" i="26"/>
  <c r="K30" i="26"/>
  <c r="A30" i="26"/>
  <c r="L29" i="26"/>
  <c r="K29" i="26"/>
  <c r="A29" i="26"/>
  <c r="L28" i="26"/>
  <c r="K28" i="26"/>
  <c r="A28" i="26"/>
  <c r="L27" i="26"/>
  <c r="K27" i="26"/>
  <c r="A27" i="26"/>
  <c r="L26" i="26"/>
  <c r="K26" i="26"/>
  <c r="A26" i="26"/>
  <c r="L25" i="26"/>
  <c r="K25" i="26"/>
  <c r="A25" i="26"/>
  <c r="L24" i="26"/>
  <c r="K24" i="26"/>
  <c r="A24" i="26"/>
  <c r="L23" i="26"/>
  <c r="K23" i="26"/>
  <c r="A23" i="26"/>
  <c r="L22" i="26"/>
  <c r="K22" i="26"/>
  <c r="A22" i="26"/>
  <c r="L21" i="26"/>
  <c r="K21" i="26"/>
  <c r="A21" i="26"/>
  <c r="L20" i="26"/>
  <c r="K20" i="26"/>
  <c r="A20" i="26"/>
  <c r="L19" i="26"/>
  <c r="K19" i="26"/>
  <c r="A19" i="26"/>
  <c r="L18" i="26"/>
  <c r="K18" i="26"/>
  <c r="A18" i="26"/>
  <c r="L17" i="26"/>
  <c r="K17" i="26"/>
  <c r="A17" i="26"/>
  <c r="L16" i="26"/>
  <c r="K16" i="26"/>
  <c r="A16" i="26"/>
  <c r="L15" i="26"/>
  <c r="K15" i="26"/>
  <c r="A15" i="26"/>
  <c r="L14" i="26"/>
  <c r="K14" i="26"/>
  <c r="A14" i="26"/>
  <c r="L13" i="26"/>
  <c r="K13" i="26"/>
  <c r="A13" i="26"/>
  <c r="L12" i="26"/>
  <c r="K12" i="26"/>
  <c r="A12" i="26"/>
  <c r="L11" i="26"/>
  <c r="K11" i="26"/>
  <c r="A11" i="26"/>
  <c r="L10" i="26"/>
  <c r="K10" i="26"/>
  <c r="A10" i="26"/>
  <c r="L9" i="26"/>
  <c r="K9" i="26"/>
  <c r="A9" i="26"/>
  <c r="L8" i="26"/>
  <c r="K8" i="26"/>
  <c r="A8" i="26"/>
  <c r="L7" i="26"/>
  <c r="K7" i="26"/>
  <c r="A7" i="26"/>
  <c r="A30" i="23" l="1"/>
  <c r="A22" i="5"/>
  <c r="A41" i="20" l="1"/>
  <c r="A40" i="20" l="1"/>
  <c r="A25" i="12" l="1"/>
  <c r="J20" i="10"/>
  <c r="K20" i="10"/>
  <c r="A45" i="3"/>
  <c r="A46" i="3"/>
  <c r="J45" i="3"/>
  <c r="K45" i="3"/>
  <c r="J46" i="3"/>
  <c r="K46" i="3"/>
  <c r="A28" i="23"/>
  <c r="A29" i="23"/>
  <c r="J29" i="23"/>
  <c r="K29" i="23"/>
  <c r="J30" i="23"/>
  <c r="K30" i="23"/>
  <c r="J24" i="7" l="1"/>
  <c r="K24" i="7"/>
  <c r="A44" i="3"/>
  <c r="J44" i="3"/>
  <c r="K44" i="3"/>
  <c r="K42" i="24"/>
  <c r="L42" i="24"/>
  <c r="K43" i="24"/>
  <c r="L43" i="24"/>
  <c r="K44" i="24"/>
  <c r="L44" i="24"/>
  <c r="A18" i="25"/>
  <c r="A45" i="15" l="1"/>
  <c r="A24" i="12" l="1"/>
  <c r="A20" i="12" l="1"/>
  <c r="A22" i="12"/>
  <c r="A23" i="12"/>
  <c r="A21" i="6" l="1"/>
  <c r="A22" i="6"/>
  <c r="A17" i="7"/>
  <c r="A18" i="7"/>
  <c r="A19" i="12"/>
  <c r="A43" i="3"/>
  <c r="A21" i="23"/>
  <c r="A22" i="23"/>
  <c r="A23" i="23"/>
  <c r="A24" i="23"/>
  <c r="A25" i="23"/>
  <c r="A26" i="23"/>
  <c r="A27" i="23"/>
  <c r="J22" i="23"/>
  <c r="K22" i="23"/>
  <c r="J23" i="23"/>
  <c r="K23" i="23"/>
  <c r="J24" i="23"/>
  <c r="K24" i="23"/>
  <c r="J25" i="23"/>
  <c r="K25" i="23"/>
  <c r="J26" i="23"/>
  <c r="K26" i="23"/>
  <c r="J27" i="23"/>
  <c r="K27" i="23"/>
  <c r="J28" i="23"/>
  <c r="K28" i="23"/>
  <c r="A25" i="9"/>
  <c r="A26" i="9"/>
  <c r="A27" i="9"/>
  <c r="J26" i="9"/>
  <c r="K26" i="9"/>
  <c r="J27" i="9"/>
  <c r="K27" i="9"/>
  <c r="J28" i="9"/>
  <c r="K28" i="9"/>
  <c r="J29" i="9"/>
  <c r="K29" i="9"/>
  <c r="K38" i="24"/>
  <c r="L38" i="24"/>
  <c r="K39" i="24"/>
  <c r="L39" i="24"/>
  <c r="K40" i="24"/>
  <c r="L40" i="24"/>
  <c r="K41" i="24"/>
  <c r="L41" i="24"/>
  <c r="L37" i="24" l="1"/>
  <c r="K37" i="24"/>
  <c r="A44" i="24" l="1"/>
  <c r="A43" i="24"/>
  <c r="A42" i="24"/>
  <c r="A41" i="24"/>
  <c r="A40" i="24"/>
  <c r="A39" i="24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18" i="12" l="1"/>
  <c r="A19" i="23" l="1"/>
  <c r="A20" i="23"/>
  <c r="J19" i="23"/>
  <c r="K19" i="23"/>
  <c r="J20" i="23"/>
  <c r="K20" i="23"/>
  <c r="J21" i="23"/>
  <c r="K21" i="23"/>
  <c r="A45" i="19" l="1"/>
  <c r="A7" i="5" l="1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17" i="25" l="1"/>
  <c r="L18" i="25" l="1"/>
  <c r="K18" i="25"/>
  <c r="L17" i="25"/>
  <c r="K17" i="25"/>
  <c r="A16" i="25"/>
  <c r="A15" i="25"/>
  <c r="A14" i="25"/>
  <c r="A13" i="25"/>
  <c r="A12" i="25"/>
  <c r="A11" i="25"/>
  <c r="A10" i="25"/>
  <c r="A9" i="25"/>
  <c r="A8" i="25"/>
  <c r="A7" i="25"/>
  <c r="A15" i="14"/>
  <c r="A14" i="14"/>
  <c r="A13" i="14"/>
  <c r="A12" i="14"/>
  <c r="A11" i="14"/>
  <c r="A10" i="14"/>
  <c r="A9" i="14"/>
  <c r="A8" i="14"/>
  <c r="A7" i="14"/>
  <c r="A45" i="16" l="1"/>
  <c r="A46" i="16"/>
  <c r="A15" i="7" l="1"/>
  <c r="A16" i="7"/>
  <c r="K22" i="7"/>
  <c r="J23" i="7"/>
  <c r="K23" i="7"/>
  <c r="J17" i="10"/>
  <c r="K17" i="10"/>
  <c r="J18" i="10"/>
  <c r="K18" i="10"/>
  <c r="J19" i="10"/>
  <c r="K19" i="10"/>
  <c r="J16" i="10"/>
  <c r="K16" i="10"/>
  <c r="K15" i="10"/>
  <c r="J15" i="10"/>
  <c r="A17" i="23"/>
  <c r="A18" i="23"/>
  <c r="K43" i="22"/>
  <c r="L43" i="22"/>
  <c r="K44" i="22"/>
  <c r="L44" i="22"/>
  <c r="A42" i="22"/>
  <c r="A43" i="22"/>
  <c r="A44" i="22"/>
  <c r="A44" i="21" l="1"/>
  <c r="A45" i="21"/>
  <c r="A44" i="15" l="1"/>
  <c r="A41" i="3" l="1"/>
  <c r="A42" i="3"/>
  <c r="A16" i="23" l="1"/>
  <c r="A41" i="22" l="1"/>
  <c r="A43" i="21"/>
  <c r="A13" i="23" l="1"/>
  <c r="A14" i="23"/>
  <c r="A15" i="23"/>
  <c r="J14" i="23"/>
  <c r="K14" i="23"/>
  <c r="J15" i="23"/>
  <c r="K15" i="23"/>
  <c r="J16" i="23"/>
  <c r="K16" i="23"/>
  <c r="J17" i="23"/>
  <c r="K17" i="23"/>
  <c r="J18" i="23"/>
  <c r="K18" i="23"/>
  <c r="A37" i="22"/>
  <c r="A38" i="22"/>
  <c r="A39" i="22"/>
  <c r="A40" i="22"/>
  <c r="K41" i="22"/>
  <c r="L41" i="22"/>
  <c r="K42" i="22"/>
  <c r="L42" i="22"/>
  <c r="K37" i="22"/>
  <c r="L37" i="22"/>
  <c r="K38" i="22"/>
  <c r="L38" i="22"/>
  <c r="K39" i="22"/>
  <c r="L39" i="22"/>
  <c r="K40" i="22"/>
  <c r="L40" i="22"/>
  <c r="A42" i="21" l="1"/>
  <c r="M16" i="23" l="1"/>
  <c r="K13" i="23"/>
  <c r="J13" i="23"/>
  <c r="K12" i="23"/>
  <c r="J12" i="23"/>
  <c r="A12" i="23"/>
  <c r="K11" i="23"/>
  <c r="J11" i="23"/>
  <c r="A11" i="23"/>
  <c r="K10" i="23"/>
  <c r="J10" i="23"/>
  <c r="A10" i="23"/>
  <c r="K9" i="23"/>
  <c r="J9" i="23"/>
  <c r="A9" i="23"/>
  <c r="K8" i="23"/>
  <c r="J8" i="23"/>
  <c r="A8" i="23"/>
  <c r="K7" i="23"/>
  <c r="J7" i="23"/>
  <c r="A7" i="23"/>
  <c r="A44" i="19"/>
  <c r="M48" i="19"/>
  <c r="J27" i="8" l="1"/>
  <c r="K27" i="8"/>
  <c r="J28" i="8"/>
  <c r="K28" i="8"/>
  <c r="J29" i="8"/>
  <c r="K29" i="8"/>
  <c r="J30" i="8"/>
  <c r="K30" i="8"/>
  <c r="J8" i="7"/>
  <c r="J16" i="7"/>
  <c r="K21" i="7"/>
  <c r="A16" i="12"/>
  <c r="A17" i="12"/>
  <c r="J41" i="3"/>
  <c r="K41" i="3"/>
  <c r="J42" i="3"/>
  <c r="K42" i="3"/>
  <c r="J43" i="3"/>
  <c r="K43" i="3"/>
  <c r="J26" i="5"/>
  <c r="K19" i="5"/>
  <c r="K21" i="5"/>
  <c r="K22" i="5"/>
  <c r="A21" i="9"/>
  <c r="A22" i="9"/>
  <c r="A23" i="9"/>
  <c r="A24" i="9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K14" i="22"/>
  <c r="L14" i="22"/>
  <c r="K7" i="22"/>
  <c r="L7" i="22"/>
  <c r="K29" i="22"/>
  <c r="L29" i="22"/>
  <c r="K21" i="22"/>
  <c r="L21" i="22"/>
  <c r="K32" i="22"/>
  <c r="L32" i="22"/>
  <c r="K11" i="22"/>
  <c r="L11" i="22"/>
  <c r="K20" i="22"/>
  <c r="L20" i="22"/>
  <c r="K10" i="22"/>
  <c r="L10" i="22"/>
  <c r="K33" i="22"/>
  <c r="L33" i="22"/>
  <c r="K19" i="22"/>
  <c r="L19" i="22"/>
  <c r="K12" i="22"/>
  <c r="L12" i="22"/>
  <c r="K34" i="22"/>
  <c r="L34" i="22"/>
  <c r="K8" i="22"/>
  <c r="L8" i="22"/>
  <c r="K30" i="22"/>
  <c r="K23" i="20"/>
  <c r="L23" i="20"/>
  <c r="K38" i="20"/>
  <c r="L38" i="20"/>
  <c r="K35" i="20"/>
  <c r="L35" i="20"/>
  <c r="K8" i="20"/>
  <c r="L8" i="20"/>
  <c r="K11" i="20"/>
  <c r="L11" i="20"/>
  <c r="A8" i="15" l="1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8" i="21"/>
  <c r="A9" i="21"/>
  <c r="A10" i="21"/>
  <c r="A11" i="21"/>
  <c r="A12" i="21"/>
  <c r="A13" i="21"/>
  <c r="A14" i="21"/>
  <c r="A15" i="21"/>
  <c r="A16" i="21"/>
  <c r="A17" i="21"/>
  <c r="A18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20" i="6" l="1"/>
  <c r="A14" i="7"/>
  <c r="A40" i="3"/>
  <c r="A40" i="19"/>
  <c r="A41" i="19"/>
  <c r="A42" i="19"/>
  <c r="A43" i="19"/>
  <c r="J41" i="19"/>
  <c r="K41" i="19"/>
  <c r="J42" i="19"/>
  <c r="K42" i="19"/>
  <c r="K40" i="19"/>
  <c r="J40" i="19"/>
  <c r="J21" i="9"/>
  <c r="K21" i="9"/>
  <c r="J22" i="9"/>
  <c r="K22" i="9"/>
  <c r="J23" i="9"/>
  <c r="K23" i="9"/>
  <c r="J24" i="9"/>
  <c r="K24" i="9"/>
  <c r="J25" i="9"/>
  <c r="K25" i="9"/>
  <c r="K26" i="8" l="1"/>
  <c r="J26" i="8"/>
  <c r="A39" i="3"/>
  <c r="A39" i="19"/>
  <c r="K26" i="22"/>
  <c r="K13" i="22"/>
  <c r="K18" i="22"/>
  <c r="K16" i="22"/>
  <c r="K9" i="22"/>
  <c r="K32" i="20"/>
  <c r="L32" i="20"/>
  <c r="K22" i="20"/>
  <c r="L22" i="20"/>
  <c r="K27" i="20"/>
  <c r="L27" i="20"/>
  <c r="K29" i="20"/>
  <c r="L29" i="20"/>
  <c r="K10" i="20"/>
  <c r="L10" i="20"/>
  <c r="K24" i="20"/>
  <c r="L24" i="20"/>
  <c r="K9" i="20"/>
  <c r="L9" i="20"/>
  <c r="K57" i="18" l="1"/>
  <c r="A38" i="3"/>
  <c r="A20" i="9"/>
  <c r="A46" i="4" l="1"/>
  <c r="A43" i="4"/>
  <c r="A44" i="4"/>
  <c r="A45" i="4"/>
  <c r="A36" i="4"/>
  <c r="A37" i="4"/>
  <c r="A38" i="4"/>
  <c r="A39" i="4"/>
  <c r="A40" i="4"/>
  <c r="A41" i="4"/>
  <c r="A42" i="4"/>
  <c r="N34" i="4"/>
  <c r="N53" i="18" l="1"/>
  <c r="A8" i="18" l="1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J51" i="18"/>
  <c r="K51" i="18"/>
  <c r="K18" i="4"/>
  <c r="K13" i="4"/>
  <c r="A7" i="18"/>
  <c r="A38" i="19"/>
  <c r="A37" i="19"/>
  <c r="A36" i="19"/>
  <c r="A33" i="19"/>
  <c r="A34" i="19"/>
  <c r="A35" i="19"/>
  <c r="A7" i="4"/>
  <c r="A32" i="19"/>
  <c r="A31" i="19"/>
  <c r="A30" i="19"/>
  <c r="A29" i="19"/>
  <c r="A19" i="6" l="1"/>
  <c r="K25" i="8"/>
  <c r="J25" i="8"/>
  <c r="A10" i="7"/>
  <c r="A11" i="7"/>
  <c r="A12" i="7"/>
  <c r="A13" i="7"/>
  <c r="J9" i="7"/>
  <c r="K19" i="7"/>
  <c r="J14" i="7"/>
  <c r="K20" i="7"/>
  <c r="A35" i="3"/>
  <c r="A36" i="3"/>
  <c r="A37" i="3"/>
  <c r="A19" i="9"/>
  <c r="K24" i="22"/>
  <c r="L24" i="22"/>
  <c r="K25" i="22"/>
  <c r="L25" i="22"/>
  <c r="K27" i="22"/>
  <c r="L27" i="22"/>
  <c r="K28" i="22"/>
  <c r="L28" i="22"/>
  <c r="K36" i="22"/>
  <c r="A44" i="2"/>
  <c r="L30" i="22" l="1"/>
  <c r="L22" i="22"/>
  <c r="L35" i="22"/>
  <c r="L31" i="22"/>
  <c r="L17" i="22"/>
  <c r="L9" i="22"/>
  <c r="L16" i="22"/>
  <c r="L18" i="22"/>
  <c r="L13" i="22"/>
  <c r="L26" i="22"/>
  <c r="L36" i="22"/>
  <c r="A7" i="22"/>
  <c r="A43" i="2" l="1"/>
  <c r="A41" i="2"/>
  <c r="A42" i="2"/>
  <c r="A8" i="7" l="1"/>
  <c r="A9" i="7"/>
  <c r="A31" i="3"/>
  <c r="A32" i="3"/>
  <c r="A33" i="3"/>
  <c r="A34" i="3"/>
  <c r="J33" i="3"/>
  <c r="K33" i="3"/>
  <c r="J34" i="3"/>
  <c r="K34" i="3"/>
  <c r="J35" i="3"/>
  <c r="K35" i="3"/>
  <c r="J36" i="3"/>
  <c r="K36" i="3"/>
  <c r="J37" i="3"/>
  <c r="K37" i="3"/>
  <c r="J38" i="3"/>
  <c r="K38" i="3"/>
  <c r="J39" i="3"/>
  <c r="K39" i="3"/>
  <c r="J40" i="3"/>
  <c r="K40" i="3"/>
  <c r="K32" i="3"/>
  <c r="J32" i="3"/>
  <c r="J34" i="4"/>
  <c r="K34" i="4"/>
  <c r="J35" i="4"/>
  <c r="K35" i="4"/>
  <c r="J36" i="4"/>
  <c r="K36" i="4"/>
  <c r="J37" i="4"/>
  <c r="K37" i="4"/>
  <c r="K33" i="4"/>
  <c r="J33" i="4"/>
  <c r="A17" i="9"/>
  <c r="A18" i="9"/>
  <c r="K17" i="9"/>
  <c r="K18" i="9"/>
  <c r="K19" i="9"/>
  <c r="K20" i="9"/>
  <c r="J18" i="9"/>
  <c r="J19" i="9"/>
  <c r="J20" i="9"/>
  <c r="J17" i="9"/>
  <c r="J45" i="2" l="1"/>
  <c r="K28" i="19" l="1"/>
  <c r="A28" i="19"/>
  <c r="K27" i="19"/>
  <c r="A27" i="19"/>
  <c r="K26" i="19"/>
  <c r="A26" i="19"/>
  <c r="K25" i="19"/>
  <c r="A25" i="19"/>
  <c r="K24" i="19"/>
  <c r="A24" i="19"/>
  <c r="K23" i="19"/>
  <c r="A23" i="19"/>
  <c r="K22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L37" i="20"/>
  <c r="A26" i="20"/>
  <c r="L3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7" i="21"/>
  <c r="K36" i="15"/>
  <c r="K35" i="15"/>
  <c r="K34" i="15"/>
  <c r="K33" i="15"/>
  <c r="K32" i="15"/>
  <c r="K31" i="15"/>
  <c r="K30" i="15"/>
  <c r="K29" i="15"/>
  <c r="K28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A7" i="15"/>
  <c r="A7" i="16"/>
  <c r="A7" i="17"/>
  <c r="A9" i="12" l="1"/>
  <c r="A7" i="8" l="1"/>
  <c r="J20" i="8"/>
  <c r="K20" i="8"/>
  <c r="J21" i="8"/>
  <c r="K21" i="8"/>
  <c r="J22" i="8"/>
  <c r="K22" i="8"/>
  <c r="J23" i="8"/>
  <c r="K23" i="8"/>
  <c r="J24" i="8"/>
  <c r="K24" i="8"/>
  <c r="A15" i="12" l="1"/>
  <c r="A30" i="3"/>
  <c r="A16" i="6"/>
  <c r="A17" i="6"/>
  <c r="A18" i="6"/>
  <c r="K16" i="6"/>
  <c r="K17" i="6"/>
  <c r="K18" i="6"/>
  <c r="K19" i="6"/>
  <c r="K20" i="6"/>
  <c r="K21" i="6"/>
  <c r="K22" i="6"/>
  <c r="J17" i="6"/>
  <c r="J18" i="6"/>
  <c r="J19" i="6"/>
  <c r="J20" i="6"/>
  <c r="J21" i="6"/>
  <c r="J22" i="6"/>
  <c r="J16" i="6"/>
  <c r="A7" i="7"/>
  <c r="L11" i="11"/>
  <c r="L12" i="11"/>
  <c r="L13" i="11"/>
  <c r="L14" i="11"/>
  <c r="L15" i="11"/>
  <c r="L16" i="11"/>
  <c r="L17" i="11"/>
  <c r="K12" i="11"/>
  <c r="K13" i="11"/>
  <c r="K14" i="11"/>
  <c r="K15" i="11"/>
  <c r="K16" i="11"/>
  <c r="K17" i="11"/>
  <c r="K11" i="11"/>
  <c r="K12" i="5"/>
  <c r="J22" i="5"/>
  <c r="K13" i="5"/>
  <c r="K14" i="5"/>
  <c r="J23" i="5"/>
  <c r="K15" i="5"/>
  <c r="K16" i="5"/>
  <c r="J24" i="5"/>
  <c r="K17" i="5"/>
  <c r="J25" i="5"/>
  <c r="K18" i="5"/>
  <c r="J43" i="2"/>
  <c r="J44" i="2"/>
  <c r="A7" i="12" l="1"/>
  <c r="A8" i="12"/>
  <c r="A10" i="12"/>
  <c r="A11" i="12"/>
  <c r="A12" i="12"/>
  <c r="A13" i="12"/>
  <c r="A14" i="12"/>
  <c r="A15" i="6" l="1"/>
  <c r="A29" i="3"/>
  <c r="K7" i="5"/>
  <c r="K8" i="5"/>
  <c r="K9" i="5"/>
  <c r="K10" i="5"/>
  <c r="K11" i="5"/>
  <c r="J21" i="5"/>
  <c r="A16" i="9"/>
  <c r="J15" i="7"/>
  <c r="J12" i="7"/>
  <c r="A28" i="3"/>
  <c r="A8" i="2" l="1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27" i="3"/>
  <c r="A9" i="9"/>
  <c r="A10" i="9"/>
  <c r="A11" i="9"/>
  <c r="A12" i="9"/>
  <c r="A13" i="9"/>
  <c r="A14" i="9"/>
  <c r="A15" i="9"/>
  <c r="A8" i="6" l="1"/>
  <c r="A9" i="6"/>
  <c r="A10" i="6"/>
  <c r="A11" i="6"/>
  <c r="A12" i="6"/>
  <c r="A13" i="6"/>
  <c r="A14" i="6"/>
  <c r="A7" i="11" l="1"/>
  <c r="A7" i="10"/>
  <c r="A8" i="9"/>
  <c r="A7" i="9"/>
  <c r="A7" i="6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7" i="2"/>
</calcChain>
</file>

<file path=xl/sharedStrings.xml><?xml version="1.0" encoding="utf-8"?>
<sst xmlns="http://schemas.openxmlformats.org/spreadsheetml/2006/main" count="9148" uniqueCount="3551">
  <si>
    <t>BỘ GIÁO DỤC VÀ ĐÀO TẠO</t>
  </si>
  <si>
    <t>CỘNG HÒA XÃ HỘI CHỦ NGHĨA VIỆT NAM</t>
  </si>
  <si>
    <t>TRƯỜNG CĐ PHƯƠNG ĐÔNG ĐÀ NẴNG</t>
  </si>
  <si>
    <t>Độc lập - Tự do - Hạnh phúc</t>
  </si>
  <si>
    <t>STT</t>
  </si>
  <si>
    <t>HỌ VÀ TÊN</t>
  </si>
  <si>
    <t xml:space="preserve">NGÀY
 SINH </t>
  </si>
  <si>
    <t>GHI CHÚ</t>
  </si>
  <si>
    <t>SĐT SINH VIÊN</t>
  </si>
  <si>
    <t>Nam</t>
  </si>
  <si>
    <t>DANH SÁCH NHẬP HỌC TRÌNH ĐỘ CAO ĐẲNG - KHÓA TUYỂN SINH NĂM 2026</t>
  </si>
  <si>
    <t>ĐỊA CHỈ THƯỜNG TRÚ (XÃ/PHƯỜNG, TỈNH TP)
địa chỉ mới sau sáp nhập</t>
  </si>
  <si>
    <t xml:space="preserve">Trần Quốc </t>
  </si>
  <si>
    <t>Vịnh</t>
  </si>
  <si>
    <t xml:space="preserve">Nguyễn Lương </t>
  </si>
  <si>
    <t>Bình</t>
  </si>
  <si>
    <t xml:space="preserve">Nguyễn Ngọc Huy </t>
  </si>
  <si>
    <t>Hoàng</t>
  </si>
  <si>
    <t xml:space="preserve">Nguyễn Xuân </t>
  </si>
  <si>
    <t>Phúc</t>
  </si>
  <si>
    <t xml:space="preserve">Lê Nguyễn Văn </t>
  </si>
  <si>
    <t>Vỹ</t>
  </si>
  <si>
    <t xml:space="preserve">Đinh Thanh </t>
  </si>
  <si>
    <t>Đủ</t>
  </si>
  <si>
    <t xml:space="preserve">Phan Thành  </t>
  </si>
  <si>
    <t>Đạt</t>
  </si>
  <si>
    <t xml:space="preserve">Phạm Lê Ngọc </t>
  </si>
  <si>
    <t>Duy</t>
  </si>
  <si>
    <t xml:space="preserve">Hoàng Thế  </t>
  </si>
  <si>
    <t>Việt</t>
  </si>
  <si>
    <t xml:space="preserve">Rơ Lan </t>
  </si>
  <si>
    <t>Thanh</t>
  </si>
  <si>
    <t xml:space="preserve">Trần Nguyên  </t>
  </si>
  <si>
    <t xml:space="preserve">Vi Tuấn </t>
  </si>
  <si>
    <t>Kiệt</t>
  </si>
  <si>
    <t xml:space="preserve">Huỳnh Khắc </t>
  </si>
  <si>
    <t>Cường</t>
  </si>
  <si>
    <t xml:space="preserve">Nguyễn Trần Đăng </t>
  </si>
  <si>
    <t>Dự</t>
  </si>
  <si>
    <t xml:space="preserve">Lê Văn </t>
  </si>
  <si>
    <t>Tùng</t>
  </si>
  <si>
    <t xml:space="preserve">Hoàng Trung </t>
  </si>
  <si>
    <t>Hiếu</t>
  </si>
  <si>
    <t xml:space="preserve">Trịnh Minh </t>
  </si>
  <si>
    <t xml:space="preserve">Hồ Ngọc </t>
  </si>
  <si>
    <t>Triều</t>
  </si>
  <si>
    <t xml:space="preserve">Võ Văn </t>
  </si>
  <si>
    <t>Thịnh</t>
  </si>
  <si>
    <t xml:space="preserve">Hồ Văn </t>
  </si>
  <si>
    <t>Phong</t>
  </si>
  <si>
    <t xml:space="preserve">A Thái </t>
  </si>
  <si>
    <t>Huynh</t>
  </si>
  <si>
    <t xml:space="preserve">Bành Văn </t>
  </si>
  <si>
    <t>Cảnh</t>
  </si>
  <si>
    <t xml:space="preserve">Đinh Hữu </t>
  </si>
  <si>
    <t>Bảo</t>
  </si>
  <si>
    <t>Quyết</t>
  </si>
  <si>
    <t xml:space="preserve">Dương Quốc </t>
  </si>
  <si>
    <t>Khang</t>
  </si>
  <si>
    <t xml:space="preserve">Hà Anh </t>
  </si>
  <si>
    <t>Khoa</t>
  </si>
  <si>
    <t xml:space="preserve">Hà Văn </t>
  </si>
  <si>
    <t>Thiện</t>
  </si>
  <si>
    <t xml:space="preserve">Hồ Viết Thanh </t>
  </si>
  <si>
    <t>Quang</t>
  </si>
  <si>
    <t xml:space="preserve">Lê Đăng </t>
  </si>
  <si>
    <t>Đức</t>
  </si>
  <si>
    <t xml:space="preserve">Lê Ngọc Nhật </t>
  </si>
  <si>
    <t>Trường</t>
  </si>
  <si>
    <t xml:space="preserve">Lê Phạm Gia </t>
  </si>
  <si>
    <t>Anh</t>
  </si>
  <si>
    <t xml:space="preserve">Ngô Đức </t>
  </si>
  <si>
    <t>Nghĩa</t>
  </si>
  <si>
    <t xml:space="preserve">Ngô Minh </t>
  </si>
  <si>
    <t>Nhật</t>
  </si>
  <si>
    <t xml:space="preserve">Nguyễn Đặng Trương </t>
  </si>
  <si>
    <t>Phi</t>
  </si>
  <si>
    <t xml:space="preserve">Nguyễn Đình </t>
  </si>
  <si>
    <t>Sang</t>
  </si>
  <si>
    <t xml:space="preserve">Nguyễn Hoài </t>
  </si>
  <si>
    <t xml:space="preserve">Nguyễn Hoàng </t>
  </si>
  <si>
    <t>Dũng</t>
  </si>
  <si>
    <t xml:space="preserve">Nguyễn Hoàng Đăng </t>
  </si>
  <si>
    <t>Khôi</t>
  </si>
  <si>
    <t xml:space="preserve">Nguyễn Huy </t>
  </si>
  <si>
    <t xml:space="preserve">Nguyễn Kim </t>
  </si>
  <si>
    <t>Tính</t>
  </si>
  <si>
    <t xml:space="preserve">Nguyễn Ngọc </t>
  </si>
  <si>
    <t>Hiệp</t>
  </si>
  <si>
    <t xml:space="preserve">Nguyễn Thành </t>
  </si>
  <si>
    <t>Long</t>
  </si>
  <si>
    <t xml:space="preserve">Nguyễn Thiện </t>
  </si>
  <si>
    <t>Nhân</t>
  </si>
  <si>
    <t xml:space="preserve">Nguyễn Trung </t>
  </si>
  <si>
    <t>An</t>
  </si>
  <si>
    <t xml:space="preserve">Nguyễn Văn </t>
  </si>
  <si>
    <t>Phát</t>
  </si>
  <si>
    <t>Phương</t>
  </si>
  <si>
    <t>Tài</t>
  </si>
  <si>
    <t xml:space="preserve">Nguyễn Văn Tuấn </t>
  </si>
  <si>
    <t>Minh</t>
  </si>
  <si>
    <t>Vinh</t>
  </si>
  <si>
    <t xml:space="preserve">Phạm Công </t>
  </si>
  <si>
    <t xml:space="preserve">Phạm Ngọc </t>
  </si>
  <si>
    <t>Chương</t>
  </si>
  <si>
    <t xml:space="preserve">Phạm Nguyễn Viết </t>
  </si>
  <si>
    <t>Trọng</t>
  </si>
  <si>
    <t xml:space="preserve">Phan Ngọc </t>
  </si>
  <si>
    <t>Kiên</t>
  </si>
  <si>
    <t xml:space="preserve">Phan Tấn </t>
  </si>
  <si>
    <t xml:space="preserve">Trần Phạm Ngọc </t>
  </si>
  <si>
    <t>Vũ</t>
  </si>
  <si>
    <t xml:space="preserve">Trịnh Văn </t>
  </si>
  <si>
    <t xml:space="preserve">Trương Công </t>
  </si>
  <si>
    <t xml:space="preserve">Trương Văn </t>
  </si>
  <si>
    <t>Khải</t>
  </si>
  <si>
    <t>Hội</t>
  </si>
  <si>
    <t xml:space="preserve">Vũ Đại  </t>
  </si>
  <si>
    <t>Thành</t>
  </si>
  <si>
    <t xml:space="preserve">Phạm Xuân </t>
  </si>
  <si>
    <t xml:space="preserve">Phạm Bùi Minh </t>
  </si>
  <si>
    <t xml:space="preserve">Phan Quốc </t>
  </si>
  <si>
    <t xml:space="preserve">Nguyễn Phi </t>
  </si>
  <si>
    <t>Hùng</t>
  </si>
  <si>
    <t xml:space="preserve">Nguyễn Phúc </t>
  </si>
  <si>
    <t xml:space="preserve">Đoàn Ngọc </t>
  </si>
  <si>
    <t xml:space="preserve">Đinh Lưu </t>
  </si>
  <si>
    <t xml:space="preserve">Phạm Anh </t>
  </si>
  <si>
    <t>Huy</t>
  </si>
  <si>
    <t xml:space="preserve">Châu Văn </t>
  </si>
  <si>
    <t>Toàn</t>
  </si>
  <si>
    <t xml:space="preserve">Trần Hữu </t>
  </si>
  <si>
    <t>Chính</t>
  </si>
  <si>
    <t xml:space="preserve">Hoàng Quốc </t>
  </si>
  <si>
    <t xml:space="preserve">Phạm Viết </t>
  </si>
  <si>
    <t>Tình</t>
  </si>
  <si>
    <t xml:space="preserve">Nguyễn Trọng </t>
  </si>
  <si>
    <t>Hải</t>
  </si>
  <si>
    <t xml:space="preserve">Lê Mạnh </t>
  </si>
  <si>
    <t xml:space="preserve">Nguyễn Tấn </t>
  </si>
  <si>
    <t xml:space="preserve">Huỳnh Phương </t>
  </si>
  <si>
    <t xml:space="preserve">Bùi Thanh </t>
  </si>
  <si>
    <t xml:space="preserve">Lương Gia </t>
  </si>
  <si>
    <t xml:space="preserve">Cao Văn Quốc </t>
  </si>
  <si>
    <t xml:space="preserve">Phạm Gia </t>
  </si>
  <si>
    <t>Khánh</t>
  </si>
  <si>
    <t xml:space="preserve">Trương Quốc </t>
  </si>
  <si>
    <t xml:space="preserve">Nguyễn Việt </t>
  </si>
  <si>
    <t xml:space="preserve">Lê Anh </t>
  </si>
  <si>
    <t xml:space="preserve">Trần Xuân </t>
  </si>
  <si>
    <t xml:space="preserve">Trần Cao </t>
  </si>
  <si>
    <t>Tiến</t>
  </si>
  <si>
    <t xml:space="preserve">Nguyễn Đức </t>
  </si>
  <si>
    <t xml:space="preserve">Lương Tiểu </t>
  </si>
  <si>
    <t xml:space="preserve">Nguyễn Thế </t>
  </si>
  <si>
    <t>Lực</t>
  </si>
  <si>
    <t xml:space="preserve">Nguyễn Gia </t>
  </si>
  <si>
    <t xml:space="preserve">Võ Như </t>
  </si>
  <si>
    <t xml:space="preserve">Hồ Xuân </t>
  </si>
  <si>
    <t>Quyền</t>
  </si>
  <si>
    <t xml:space="preserve">Bành Nguyễn Xuân </t>
  </si>
  <si>
    <t>Mạnh</t>
  </si>
  <si>
    <t xml:space="preserve">Võ Đức </t>
  </si>
  <si>
    <t>Tri</t>
  </si>
  <si>
    <t xml:space="preserve">Trần Văn Hoài </t>
  </si>
  <si>
    <t xml:space="preserve">Hà Ngọc </t>
  </si>
  <si>
    <t>Hưng</t>
  </si>
  <si>
    <t xml:space="preserve">Ông Văn </t>
  </si>
  <si>
    <t>Vương</t>
  </si>
  <si>
    <t>Thiết</t>
  </si>
  <si>
    <t xml:space="preserve">Trần Nguyên </t>
  </si>
  <si>
    <t xml:space="preserve">Mai Vinh </t>
  </si>
  <si>
    <t>Phú</t>
  </si>
  <si>
    <t xml:space="preserve">Đặng Ngọc Huy </t>
  </si>
  <si>
    <t xml:space="preserve">Lê Minh </t>
  </si>
  <si>
    <t xml:space="preserve">Phạm Tuấn </t>
  </si>
  <si>
    <t xml:space="preserve">Trần Thái </t>
  </si>
  <si>
    <t xml:space="preserve">Nguyễn Võ Văn </t>
  </si>
  <si>
    <t xml:space="preserve">Lê Hiếu </t>
  </si>
  <si>
    <t>Khiêm</t>
  </si>
  <si>
    <t>Chiến</t>
  </si>
  <si>
    <t xml:space="preserve">Lâm Công Gia </t>
  </si>
  <si>
    <t xml:space="preserve">Lê Văn Tuấn  </t>
  </si>
  <si>
    <t>Thảo</t>
  </si>
  <si>
    <t xml:space="preserve">Phạm Hải </t>
  </si>
  <si>
    <t>Đăng</t>
  </si>
  <si>
    <t>GHI 
CHÚ</t>
  </si>
  <si>
    <t xml:space="preserve">Nguyễn Tùng </t>
  </si>
  <si>
    <t>Lộc</t>
  </si>
  <si>
    <t xml:space="preserve">Võ Bùi Thế </t>
  </si>
  <si>
    <t xml:space="preserve">Nguyễn Gia  </t>
  </si>
  <si>
    <t>Quý</t>
  </si>
  <si>
    <t xml:space="preserve">Trần Mai  </t>
  </si>
  <si>
    <t xml:space="preserve">Châu Văn  </t>
  </si>
  <si>
    <t xml:space="preserve">Trần Lê </t>
  </si>
  <si>
    <t>Trung</t>
  </si>
  <si>
    <t xml:space="preserve">Đặng Đình </t>
  </si>
  <si>
    <t xml:space="preserve">Đặng Ngọc </t>
  </si>
  <si>
    <t xml:space="preserve">Dương Nguyễn Quang </t>
  </si>
  <si>
    <t xml:space="preserve">Hứa Ngọc </t>
  </si>
  <si>
    <t xml:space="preserve">Kiều Đinh </t>
  </si>
  <si>
    <t>Quân</t>
  </si>
  <si>
    <t xml:space="preserve">Nguyễn Ngọc Duy  </t>
  </si>
  <si>
    <t xml:space="preserve">Nguyễn Quốc </t>
  </si>
  <si>
    <t xml:space="preserve">Nguyễn Thanh </t>
  </si>
  <si>
    <t>Hậu</t>
  </si>
  <si>
    <t xml:space="preserve">Nguyễn Xuân Thanh </t>
  </si>
  <si>
    <t xml:space="preserve">Tống Nhật </t>
  </si>
  <si>
    <t>Lâm</t>
  </si>
  <si>
    <t xml:space="preserve">Trần Nhật </t>
  </si>
  <si>
    <t xml:space="preserve">Võ Xuân </t>
  </si>
  <si>
    <t xml:space="preserve">Trần Huỳnh Anh </t>
  </si>
  <si>
    <t xml:space="preserve">Phan Gia </t>
  </si>
  <si>
    <t>Hạo</t>
  </si>
  <si>
    <t xml:space="preserve">Đinh Phú Vinh </t>
  </si>
  <si>
    <t xml:space="preserve">Thái Văn </t>
  </si>
  <si>
    <t>Nguyên</t>
  </si>
  <si>
    <t xml:space="preserve">Huỳnh Gia </t>
  </si>
  <si>
    <t xml:space="preserve">Hồ Quốc </t>
  </si>
  <si>
    <t xml:space="preserve">Hồ Nhật </t>
  </si>
  <si>
    <t>Vĩ</t>
  </si>
  <si>
    <t xml:space="preserve">Phùng Công </t>
  </si>
  <si>
    <t xml:space="preserve">Bùi Khánh </t>
  </si>
  <si>
    <t xml:space="preserve">Bùi Minh </t>
  </si>
  <si>
    <t>Trí</t>
  </si>
  <si>
    <t xml:space="preserve">Trần Thanh </t>
  </si>
  <si>
    <t>SĐT 
SINH VIÊN</t>
  </si>
  <si>
    <t>NGÀNH CÔNG NGHỆ KỸ THUẬT MÁY LẠNH VÀ ĐHKK - LỚP MLĐH5A</t>
  </si>
  <si>
    <t xml:space="preserve">Trần Tấn </t>
  </si>
  <si>
    <t xml:space="preserve">Bùi Trần Đăng </t>
  </si>
  <si>
    <t xml:space="preserve">Lê Đình Bảo </t>
  </si>
  <si>
    <t xml:space="preserve">Đồng Văn </t>
  </si>
  <si>
    <t>Hà</t>
  </si>
  <si>
    <t xml:space="preserve">Trần Ngọc </t>
  </si>
  <si>
    <t xml:space="preserve">Đặng Huy </t>
  </si>
  <si>
    <t>Khanh</t>
  </si>
  <si>
    <t xml:space="preserve">Nguyễn Tuấn </t>
  </si>
  <si>
    <t xml:space="preserve">Nguyễn Văn Hoàng </t>
  </si>
  <si>
    <t xml:space="preserve">Trần Tuấn </t>
  </si>
  <si>
    <t xml:space="preserve">Lê Nguyễn Bảo  </t>
  </si>
  <si>
    <t>Kim</t>
  </si>
  <si>
    <t xml:space="preserve">Võ Thành  </t>
  </si>
  <si>
    <t>Công</t>
  </si>
  <si>
    <t xml:space="preserve">Đỗ Ngọc </t>
  </si>
  <si>
    <t>Nhất</t>
  </si>
  <si>
    <t xml:space="preserve">Ngần Văn </t>
  </si>
  <si>
    <t xml:space="preserve">Phan Lê Minh </t>
  </si>
  <si>
    <t xml:space="preserve">Trương Quang </t>
  </si>
  <si>
    <t xml:space="preserve">Mai Đức </t>
  </si>
  <si>
    <t xml:space="preserve">Võ Phan Trường </t>
  </si>
  <si>
    <t xml:space="preserve">Võ Thiện </t>
  </si>
  <si>
    <t xml:space="preserve">Lê Ngọc Cẩm </t>
  </si>
  <si>
    <t>Tú</t>
  </si>
  <si>
    <t xml:space="preserve">Đỗ Duy </t>
  </si>
  <si>
    <t xml:space="preserve">Bùi Trần Trúc </t>
  </si>
  <si>
    <t>Lam</t>
  </si>
  <si>
    <t xml:space="preserve">Nguyễn Vũ Anh </t>
  </si>
  <si>
    <t>Thư</t>
  </si>
  <si>
    <t xml:space="preserve">Nguyễn Thị Minh </t>
  </si>
  <si>
    <t>Trang</t>
  </si>
  <si>
    <t xml:space="preserve">Nguyễn Thị Thu </t>
  </si>
  <si>
    <t xml:space="preserve">Vương Hoàng Thảo </t>
  </si>
  <si>
    <t>My</t>
  </si>
  <si>
    <t xml:space="preserve">Nguyễn Đào Hoàng </t>
  </si>
  <si>
    <t xml:space="preserve">Thị </t>
  </si>
  <si>
    <t>Nuyêt</t>
  </si>
  <si>
    <t xml:space="preserve">Nguyễn Thị Ngọc  </t>
  </si>
  <si>
    <t xml:space="preserve">Hà Nữ Thảo </t>
  </si>
  <si>
    <t xml:space="preserve">Quách Hoa </t>
  </si>
  <si>
    <t>Xuân</t>
  </si>
  <si>
    <t xml:space="preserve">Phạm Phan Diệu </t>
  </si>
  <si>
    <t>Hiền</t>
  </si>
  <si>
    <t xml:space="preserve">Đào Thị </t>
  </si>
  <si>
    <t xml:space="preserve">Trần Thị Thu </t>
  </si>
  <si>
    <t xml:space="preserve">Nguyễn Thị Khánh </t>
  </si>
  <si>
    <t>Mai</t>
  </si>
  <si>
    <t xml:space="preserve">Nguyễn Thị Bảo </t>
  </si>
  <si>
    <t>Như</t>
  </si>
  <si>
    <t xml:space="preserve">Đào Thị Ngọc </t>
  </si>
  <si>
    <t>Diệp</t>
  </si>
  <si>
    <t xml:space="preserve">Huỳnh Hoài Như </t>
  </si>
  <si>
    <t>Ý</t>
  </si>
  <si>
    <t xml:space="preserve">Lê Trần Ánh </t>
  </si>
  <si>
    <t>Hằng</t>
  </si>
  <si>
    <t>Ngân</t>
  </si>
  <si>
    <t xml:space="preserve">Trần Thị Thùy </t>
  </si>
  <si>
    <t xml:space="preserve">Võ Thị Kiều </t>
  </si>
  <si>
    <t>Trinh</t>
  </si>
  <si>
    <t xml:space="preserve">Chu Việt </t>
  </si>
  <si>
    <t xml:space="preserve">Nguyễn Trần Phương </t>
  </si>
  <si>
    <t>Vy</t>
  </si>
  <si>
    <t xml:space="preserve">Y Như </t>
  </si>
  <si>
    <t>Nguyệt</t>
  </si>
  <si>
    <t xml:space="preserve">Võ Thị Hồng </t>
  </si>
  <si>
    <t>Linh</t>
  </si>
  <si>
    <t xml:space="preserve">Nguyễn Thị Mỹ </t>
  </si>
  <si>
    <t>Thủy</t>
  </si>
  <si>
    <t xml:space="preserve">Mai Tâm </t>
  </si>
  <si>
    <t>Oanh</t>
  </si>
  <si>
    <t xml:space="preserve">Đinh Thị Hà </t>
  </si>
  <si>
    <t>Duyên</t>
  </si>
  <si>
    <t xml:space="preserve">Nguyễn Thục </t>
  </si>
  <si>
    <t>Uy</t>
  </si>
  <si>
    <t xml:space="preserve">Phạm Ngọc Hà </t>
  </si>
  <si>
    <t xml:space="preserve">Nguyễn Lê Hòa </t>
  </si>
  <si>
    <t xml:space="preserve">Trần Thị Ngọc </t>
  </si>
  <si>
    <t xml:space="preserve">Trần Thị Mỹ </t>
  </si>
  <si>
    <t>Hạnh</t>
  </si>
  <si>
    <t xml:space="preserve">Trần Thị Yến </t>
  </si>
  <si>
    <t xml:space="preserve">Nguyễn Thị Thanh </t>
  </si>
  <si>
    <t>Huyền</t>
  </si>
  <si>
    <t xml:space="preserve">Lê Thị Ánh </t>
  </si>
  <si>
    <t>Thi</t>
  </si>
  <si>
    <t xml:space="preserve">Nguyễn Trần Thảo </t>
  </si>
  <si>
    <t xml:space="preserve">Y Hoài </t>
  </si>
  <si>
    <t>Nhi</t>
  </si>
  <si>
    <t xml:space="preserve">Võ Hoàng Bảo </t>
  </si>
  <si>
    <t xml:space="preserve">Nguyễn Lê Nhã </t>
  </si>
  <si>
    <t>Quyên</t>
  </si>
  <si>
    <t xml:space="preserve">Hồ Võ Trúc </t>
  </si>
  <si>
    <t xml:space="preserve">Lê Nhật </t>
  </si>
  <si>
    <t xml:space="preserve">Phạm Thị Kim </t>
  </si>
  <si>
    <t>Tuyết</t>
  </si>
  <si>
    <t xml:space="preserve">Tăng Thị Hoàng </t>
  </si>
  <si>
    <t>Diệu</t>
  </si>
  <si>
    <t xml:space="preserve">Phan Thị Thanh </t>
  </si>
  <si>
    <t xml:space="preserve">Lê Thị Huyền </t>
  </si>
  <si>
    <t>Trân</t>
  </si>
  <si>
    <t xml:space="preserve">Trương Ngọc Quỳnh </t>
  </si>
  <si>
    <t xml:space="preserve">Cầm Linh </t>
  </si>
  <si>
    <t xml:space="preserve">Đinh Lê Thanh </t>
  </si>
  <si>
    <t>Ngọc</t>
  </si>
  <si>
    <t xml:space="preserve">Huỳnh Thị Thu </t>
  </si>
  <si>
    <t>Hồng</t>
  </si>
  <si>
    <t xml:space="preserve">Lâm Thị Hải </t>
  </si>
  <si>
    <t>Yến</t>
  </si>
  <si>
    <t xml:space="preserve">Nguyễn Thị Thúy </t>
  </si>
  <si>
    <t xml:space="preserve">Phan Nguyễn Thu </t>
  </si>
  <si>
    <t xml:space="preserve">Lê Thị Hoài </t>
  </si>
  <si>
    <t>Thương</t>
  </si>
  <si>
    <t>Loan</t>
  </si>
  <si>
    <t xml:space="preserve">Trần Đặng Thảo </t>
  </si>
  <si>
    <t>Vi</t>
  </si>
  <si>
    <t xml:space="preserve">Nguyễn Ngọc Phương </t>
  </si>
  <si>
    <t xml:space="preserve">Lương Thái </t>
  </si>
  <si>
    <t xml:space="preserve">Lê Hà </t>
  </si>
  <si>
    <t xml:space="preserve">Phạm Đặng Mỹ </t>
  </si>
  <si>
    <t>Hương</t>
  </si>
  <si>
    <t xml:space="preserve">Lê Thị Hồng </t>
  </si>
  <si>
    <t>Thắm</t>
  </si>
  <si>
    <t xml:space="preserve">Nguyễn Thị Ny </t>
  </si>
  <si>
    <t>Na</t>
  </si>
  <si>
    <t xml:space="preserve">Đỗ Nguyễn Phước </t>
  </si>
  <si>
    <t xml:space="preserve">Nay H' </t>
  </si>
  <si>
    <t>Hân</t>
  </si>
  <si>
    <t xml:space="preserve">Hà Kiều </t>
  </si>
  <si>
    <t xml:space="preserve">Nguyễn Thị Cẩm  </t>
  </si>
  <si>
    <t>Nhung</t>
  </si>
  <si>
    <t xml:space="preserve">Nguyễn Thị Anh </t>
  </si>
  <si>
    <t>Giang</t>
  </si>
  <si>
    <t xml:space="preserve">Đoàn Công </t>
  </si>
  <si>
    <t>Danh</t>
  </si>
  <si>
    <t xml:space="preserve">Ngô Thị Như </t>
  </si>
  <si>
    <t>Quỳnh</t>
  </si>
  <si>
    <t xml:space="preserve">Trịnh Thị Thanh </t>
  </si>
  <si>
    <t xml:space="preserve">Đào Thị Đinh </t>
  </si>
  <si>
    <t>Lăng</t>
  </si>
  <si>
    <t xml:space="preserve">H Trâm </t>
  </si>
  <si>
    <t>Siu</t>
  </si>
  <si>
    <t xml:space="preserve">Đỗ Tuyết </t>
  </si>
  <si>
    <t xml:space="preserve">Huỳnh Lam </t>
  </si>
  <si>
    <t xml:space="preserve">Huỳnh Hoàng An </t>
  </si>
  <si>
    <t xml:space="preserve">Phạm Thị Thùy </t>
  </si>
  <si>
    <t xml:space="preserve">Huỳnh Trí </t>
  </si>
  <si>
    <t xml:space="preserve">Đoàn Hữu </t>
  </si>
  <si>
    <t xml:space="preserve">Siu H </t>
  </si>
  <si>
    <t>Samatha</t>
  </si>
  <si>
    <t xml:space="preserve">Phạm Trà </t>
  </si>
  <si>
    <t xml:space="preserve">Lê Thị Như </t>
  </si>
  <si>
    <t xml:space="preserve">Hồ Nguyên </t>
  </si>
  <si>
    <t>Thy</t>
  </si>
  <si>
    <t xml:space="preserve">Doãn Huỳnh Anh </t>
  </si>
  <si>
    <t xml:space="preserve">Võ Thị </t>
  </si>
  <si>
    <t>Thu</t>
  </si>
  <si>
    <t xml:space="preserve">Phạm Thị Ngọc </t>
  </si>
  <si>
    <t xml:space="preserve">Nguyễn Trần Thúy </t>
  </si>
  <si>
    <t xml:space="preserve"> Xao</t>
  </si>
  <si>
    <t xml:space="preserve">Nguyễn Thị Thùy </t>
  </si>
  <si>
    <t xml:space="preserve">Phạm Ngọc Bảo </t>
  </si>
  <si>
    <t xml:space="preserve">Hoàng Phương </t>
  </si>
  <si>
    <t>Dung</t>
  </si>
  <si>
    <t xml:space="preserve">Phan Như  </t>
  </si>
  <si>
    <t xml:space="preserve">Ngô Ngọc Bảo </t>
  </si>
  <si>
    <t xml:space="preserve">Nguyễn Minh </t>
  </si>
  <si>
    <t xml:space="preserve">Nguyễn Thị Quỳnh </t>
  </si>
  <si>
    <t xml:space="preserve">Phạm Đỗ Phương </t>
  </si>
  <si>
    <t xml:space="preserve">Phạm Thị Ánh </t>
  </si>
  <si>
    <t>Ly</t>
  </si>
  <si>
    <t xml:space="preserve">Trần Văn </t>
  </si>
  <si>
    <t>Thắng</t>
  </si>
  <si>
    <t xml:space="preserve">Võ Thị Mỹ </t>
  </si>
  <si>
    <t>Kiều</t>
  </si>
  <si>
    <t xml:space="preserve">Đỗ Mỹ </t>
  </si>
  <si>
    <t>Uyên</t>
  </si>
  <si>
    <t xml:space="preserve">Trần Quỳnh </t>
  </si>
  <si>
    <t xml:space="preserve">Biện Thị Quỳnh </t>
  </si>
  <si>
    <t>Trà</t>
  </si>
  <si>
    <t xml:space="preserve">Trần Thị Lâm </t>
  </si>
  <si>
    <t xml:space="preserve">Nguyễn Thúy </t>
  </si>
  <si>
    <t xml:space="preserve">Lê Thị Thùy </t>
  </si>
  <si>
    <t xml:space="preserve">Hồ Thị Thu </t>
  </si>
  <si>
    <t xml:space="preserve">Nguyễn Thùy </t>
  </si>
  <si>
    <t xml:space="preserve">Phan Nguyễn Kiều </t>
  </si>
  <si>
    <t>Hoa</t>
  </si>
  <si>
    <t xml:space="preserve">Nguyễn Thị Nhật </t>
  </si>
  <si>
    <t>Lệ</t>
  </si>
  <si>
    <t xml:space="preserve">Nguyễn Phan Như </t>
  </si>
  <si>
    <t xml:space="preserve">Hồ Minh </t>
  </si>
  <si>
    <t>Quốc</t>
  </si>
  <si>
    <t xml:space="preserve">Nguyễn Thị Kiều </t>
  </si>
  <si>
    <t xml:space="preserve">Lê Thị Minh </t>
  </si>
  <si>
    <t xml:space="preserve">Trần Thị Khánh </t>
  </si>
  <si>
    <t>Mi</t>
  </si>
  <si>
    <t xml:space="preserve">Y Hồng </t>
  </si>
  <si>
    <t>NGÀNH Y SỸ ĐA KHOA - LỚP YC4A</t>
  </si>
  <si>
    <t xml:space="preserve">Hà Duy </t>
  </si>
  <si>
    <t>Kha</t>
  </si>
  <si>
    <t xml:space="preserve">Nguyễn Diệp Hoàng </t>
  </si>
  <si>
    <t xml:space="preserve">Phan Nguyễn Khánh </t>
  </si>
  <si>
    <t xml:space="preserve">Nguyễn Thị Hà </t>
  </si>
  <si>
    <t xml:space="preserve">Nguyễn Thị Như </t>
  </si>
  <si>
    <t xml:space="preserve">Nguyễn Thị Bích </t>
  </si>
  <si>
    <t xml:space="preserve">Bùi Xuân </t>
  </si>
  <si>
    <t xml:space="preserve">Võ Phương </t>
  </si>
  <si>
    <t xml:space="preserve">Huỳnh Anh </t>
  </si>
  <si>
    <t xml:space="preserve">Lê Phương </t>
  </si>
  <si>
    <t>Trúc</t>
  </si>
  <si>
    <t xml:space="preserve">Trần Nam </t>
  </si>
  <si>
    <t xml:space="preserve">Trần Khánh </t>
  </si>
  <si>
    <t xml:space="preserve">Huỳnh Thị Bảo </t>
  </si>
  <si>
    <t xml:space="preserve">Lý Lân </t>
  </si>
  <si>
    <t>Luân</t>
  </si>
  <si>
    <t xml:space="preserve">Lê Quốc </t>
  </si>
  <si>
    <t xml:space="preserve">Nguyễn Thị Yến </t>
  </si>
  <si>
    <t xml:space="preserve">Đỗ Thúy </t>
  </si>
  <si>
    <t>Chánh</t>
  </si>
  <si>
    <t xml:space="preserve">Tô Thị Thúy </t>
  </si>
  <si>
    <t>Diễm</t>
  </si>
  <si>
    <t xml:space="preserve">Đặng Nhật Bảo </t>
  </si>
  <si>
    <t xml:space="preserve">Đỗ An </t>
  </si>
  <si>
    <t>Thuyên</t>
  </si>
  <si>
    <t xml:space="preserve">Nguyễn Lưu Nhật </t>
  </si>
  <si>
    <t>Tiên</t>
  </si>
  <si>
    <t xml:space="preserve">Lê Đức </t>
  </si>
  <si>
    <t xml:space="preserve">Ngô Hoàng </t>
  </si>
  <si>
    <t xml:space="preserve">Nguyễn Bá </t>
  </si>
  <si>
    <t xml:space="preserve">Huỳnh Đăng Gia </t>
  </si>
  <si>
    <t xml:space="preserve">Đặng Công Hoàng  </t>
  </si>
  <si>
    <t xml:space="preserve">Nguyễn Phan Uyên </t>
  </si>
  <si>
    <t>NGÀNH Y HỌC CỔ TRUYỀN - LỚP YHCT1A</t>
  </si>
  <si>
    <t xml:space="preserve">Trương Nguyễn Yến </t>
  </si>
  <si>
    <t xml:space="preserve">Hứa Lê </t>
  </si>
  <si>
    <t xml:space="preserve">Phạm Thị Thảo </t>
  </si>
  <si>
    <t xml:space="preserve">Bùi Thục </t>
  </si>
  <si>
    <t>Đoan</t>
  </si>
  <si>
    <t xml:space="preserve">Trương Gia </t>
  </si>
  <si>
    <t>Thuận</t>
  </si>
  <si>
    <t xml:space="preserve">Nguyễn Văn Bình </t>
  </si>
  <si>
    <t xml:space="preserve">Trần Thụy Ngọc </t>
  </si>
  <si>
    <t xml:space="preserve">Mai Thị Hồng </t>
  </si>
  <si>
    <t>Vân</t>
  </si>
  <si>
    <t xml:space="preserve">Phạm Thị </t>
  </si>
  <si>
    <t>Lý</t>
  </si>
  <si>
    <t xml:space="preserve">Phan Minh </t>
  </si>
  <si>
    <t xml:space="preserve">Nguyễn Ngô Sông </t>
  </si>
  <si>
    <t>NGÀNH CÔNG NGHỆ THÔNG TIN - LỚP CT10A</t>
  </si>
  <si>
    <t xml:space="preserve">Nguyễn Hữu Hồng </t>
  </si>
  <si>
    <t xml:space="preserve">Trịnh Hiểu  </t>
  </si>
  <si>
    <t>Kỳ</t>
  </si>
  <si>
    <t xml:space="preserve">Trần Hải </t>
  </si>
  <si>
    <t xml:space="preserve">Lê Ngọc </t>
  </si>
  <si>
    <t xml:space="preserve">Võ Quốc </t>
  </si>
  <si>
    <t xml:space="preserve">Nguyễn Ngọc Bảo </t>
  </si>
  <si>
    <t xml:space="preserve">Nguyễn Quang </t>
  </si>
  <si>
    <t>Đông</t>
  </si>
  <si>
    <t xml:space="preserve">Ksor H' </t>
  </si>
  <si>
    <t>Ngam</t>
  </si>
  <si>
    <t xml:space="preserve">Trần Công </t>
  </si>
  <si>
    <t xml:space="preserve">Lê Thị Quỳnh </t>
  </si>
  <si>
    <t>Giao</t>
  </si>
  <si>
    <t xml:space="preserve">Đặng Lê Anh </t>
  </si>
  <si>
    <t>NGÀNH QUẢN TRỊ DU LỊCH VÀ LỮ HÀNH - LỚP QL11A</t>
  </si>
  <si>
    <t>NGÀNH QUẢN TRỊ KINH DOANH - LỚP QT17A</t>
  </si>
  <si>
    <t xml:space="preserve">Đinh Thị </t>
  </si>
  <si>
    <t xml:space="preserve">Ngô Thị Bích </t>
  </si>
  <si>
    <t>Liên</t>
  </si>
  <si>
    <t xml:space="preserve">Phan Thanh </t>
  </si>
  <si>
    <t xml:space="preserve">Lâm Anh </t>
  </si>
  <si>
    <t>Thiên</t>
  </si>
  <si>
    <t xml:space="preserve">Nguyễn Thị Hồng </t>
  </si>
  <si>
    <t>Nhiên</t>
  </si>
  <si>
    <t xml:space="preserve">Trương Quỳnh </t>
  </si>
  <si>
    <t xml:space="preserve">Thái Hoàng Mỹ </t>
  </si>
  <si>
    <t xml:space="preserve">Nguyễn Trần Cẩm  </t>
  </si>
  <si>
    <t>Nguyễn Thị</t>
  </si>
  <si>
    <t>Nguyễn Hà Bảo</t>
  </si>
  <si>
    <t>Nguyễn</t>
  </si>
  <si>
    <t>KT12A</t>
  </si>
  <si>
    <t>LGT1A</t>
  </si>
  <si>
    <t>TN6A</t>
  </si>
  <si>
    <t>Hường</t>
  </si>
  <si>
    <t>Nguyễn Ngô Cẩm</t>
  </si>
  <si>
    <t>Trương Thanh</t>
  </si>
  <si>
    <t>Đoàn Minh</t>
  </si>
  <si>
    <t>Trần Thị Hồng</t>
  </si>
  <si>
    <t>Lê Minh</t>
  </si>
  <si>
    <t>Đỗ Nguyễn Nhã</t>
  </si>
  <si>
    <t>Nguyễn Đăng Quốc Bảo</t>
  </si>
  <si>
    <t>PL1A</t>
  </si>
  <si>
    <t>LỚP:  KT12A, LGT1A, TN6A, PL1A</t>
  </si>
  <si>
    <t>Hoài</t>
  </si>
  <si>
    <t>Hà Phan Quốc</t>
  </si>
  <si>
    <t>Nguyễn Thanh</t>
  </si>
  <si>
    <t>Phan Huy</t>
  </si>
  <si>
    <t>Nguyễn Đức</t>
  </si>
  <si>
    <t>Ma Đình Anh</t>
  </si>
  <si>
    <t>Cao Phú</t>
  </si>
  <si>
    <t>Nguyễn Phạm Đức</t>
  </si>
  <si>
    <t xml:space="preserve">Bùi Công </t>
  </si>
  <si>
    <t>Trương</t>
  </si>
  <si>
    <t>Trần Hữu</t>
  </si>
  <si>
    <t>Phan Minh</t>
  </si>
  <si>
    <t>Phước</t>
  </si>
  <si>
    <t>Nguyễn Bảo Thiên</t>
  </si>
  <si>
    <t>Trần Ngọc</t>
  </si>
  <si>
    <t>Ánh</t>
  </si>
  <si>
    <t>Nguyễn Anh</t>
  </si>
  <si>
    <t>Thơ</t>
  </si>
  <si>
    <t xml:space="preserve">Đỗ Vy </t>
  </si>
  <si>
    <t>Nguyễn Thu</t>
  </si>
  <si>
    <t>ĐIỆN BÀN BẮC</t>
  </si>
  <si>
    <t>ĐÀ NẴNG</t>
  </si>
  <si>
    <t>0707439952</t>
  </si>
  <si>
    <t>NGUYỄN NGHIÊM</t>
  </si>
  <si>
    <t>QUẢNG NGÃI</t>
  </si>
  <si>
    <t>0942852970</t>
  </si>
  <si>
    <t>0788685641</t>
  </si>
  <si>
    <t>QUẾ SƠN</t>
  </si>
  <si>
    <t>0919620249</t>
  </si>
  <si>
    <t>LÂM ĐỒNG</t>
  </si>
  <si>
    <t>KRÔNG NÔ</t>
  </si>
  <si>
    <t>0382925354</t>
  </si>
  <si>
    <t>HÒA SƠN</t>
  </si>
  <si>
    <t>ĐĂK LĂK</t>
  </si>
  <si>
    <t>BÌNH SƠN</t>
  </si>
  <si>
    <t>0357547083</t>
  </si>
  <si>
    <t>GIA LAI</t>
  </si>
  <si>
    <t>NAM ĐỒNG</t>
  </si>
  <si>
    <t>NINH BÌNH</t>
  </si>
  <si>
    <t>0936641874</t>
  </si>
  <si>
    <t>QUẾ PHƯỚC</t>
  </si>
  <si>
    <t>0359162584</t>
  </si>
  <si>
    <t>HỘI AN TÂY</t>
  </si>
  <si>
    <t>0852795008</t>
  </si>
  <si>
    <t>HƯƠNG ĐÔ</t>
  </si>
  <si>
    <t>HÀ TĨNH</t>
  </si>
  <si>
    <t>0327261492</t>
  </si>
  <si>
    <t>LP</t>
  </si>
  <si>
    <t>VẠN ĐỨC</t>
  </si>
  <si>
    <t>0328034581</t>
  </si>
  <si>
    <t>AN HẢI</t>
  </si>
  <si>
    <t>0931987763</t>
  </si>
  <si>
    <t>0347273634</t>
  </si>
  <si>
    <t>QUẢNG TRỊ</t>
  </si>
  <si>
    <t>BẮC GIANH</t>
  </si>
  <si>
    <t>0393529755</t>
  </si>
  <si>
    <t>0971327954</t>
  </si>
  <si>
    <t>BT</t>
  </si>
  <si>
    <t>LT</t>
  </si>
  <si>
    <t>AN THẮNG</t>
  </si>
  <si>
    <t>0981372187</t>
  </si>
  <si>
    <t>0964744705</t>
  </si>
  <si>
    <t>NÚI THÀNH</t>
  </si>
  <si>
    <t>0362119103</t>
  </si>
  <si>
    <t>TRÀ CÂU</t>
  </si>
  <si>
    <t>0396762457</t>
  </si>
  <si>
    <t>TÂY SƠN</t>
  </si>
  <si>
    <t>0335136806</t>
  </si>
  <si>
    <t>TRIỆU BÌNH</t>
  </si>
  <si>
    <t>0325132935</t>
  </si>
  <si>
    <t>THU BỒN</t>
  </si>
  <si>
    <t>0795742157</t>
  </si>
  <si>
    <t>AN KHÊ</t>
  </si>
  <si>
    <t>0342440468</t>
  </si>
  <si>
    <t>0905406273</t>
  </si>
  <si>
    <t>HỘI AN</t>
  </si>
  <si>
    <t>TRÀ GIANG</t>
  </si>
  <si>
    <t>0867241410</t>
  </si>
  <si>
    <t>0346822949</t>
  </si>
  <si>
    <t>NÔNG SƠN</t>
  </si>
  <si>
    <t>0334815737</t>
  </si>
  <si>
    <t>ÂN HẢO</t>
  </si>
  <si>
    <t>0368209800</t>
  </si>
  <si>
    <t>CẨM LỆ</t>
  </si>
  <si>
    <t>0975245561</t>
  </si>
  <si>
    <t>TAM ANH</t>
  </si>
  <si>
    <t>0886784462</t>
  </si>
  <si>
    <t>0909710751</t>
  </si>
  <si>
    <t>QUÊ SƠN TRUNG</t>
  </si>
  <si>
    <t>BỒNG SƠN</t>
  </si>
  <si>
    <t>0377043821</t>
  </si>
  <si>
    <t>TIÊN PHƯỚC</t>
  </si>
  <si>
    <t>0832922471</t>
  </si>
  <si>
    <t>0348753557</t>
  </si>
  <si>
    <t>TÂN GIANH</t>
  </si>
  <si>
    <t>0386107205</t>
  </si>
  <si>
    <t>BA ĐỒN</t>
  </si>
  <si>
    <t>0345835905</t>
  </si>
  <si>
    <t>GÒ NỔI</t>
  </si>
  <si>
    <t>0795520445</t>
  </si>
  <si>
    <t>0865037419</t>
  </si>
  <si>
    <t>BỜ Y</t>
  </si>
  <si>
    <t>0345900781</t>
  </si>
  <si>
    <t>0369680432</t>
  </si>
  <si>
    <t>QUẢNG PHÚ</t>
  </si>
  <si>
    <t>0943940608</t>
  </si>
  <si>
    <t>TAM KỲ</t>
  </si>
  <si>
    <t>0366949814</t>
  </si>
  <si>
    <t>CHÂN MÂY-LĂNG CÔ</t>
  </si>
  <si>
    <t>HẢI CHÂU</t>
  </si>
  <si>
    <t>THĂNG BÌNH</t>
  </si>
  <si>
    <t>HUẾ</t>
  </si>
  <si>
    <t>0798874409</t>
  </si>
  <si>
    <t>0792938052</t>
  </si>
  <si>
    <t>0342044825</t>
  </si>
  <si>
    <t>0868657791</t>
  </si>
  <si>
    <t>0362050885</t>
  </si>
  <si>
    <t>ĐẠI LỘC</t>
  </si>
  <si>
    <t>0789445244</t>
  </si>
  <si>
    <t>0369794133</t>
  </si>
  <si>
    <t>0988248055</t>
  </si>
  <si>
    <t>0972381726</t>
  </si>
  <si>
    <t>0357600285</t>
  </si>
  <si>
    <t>0378813034</t>
  </si>
  <si>
    <t/>
  </si>
  <si>
    <t>0362347571</t>
  </si>
  <si>
    <t>IAKO</t>
  </si>
  <si>
    <t>HỘI AN ĐÔNG</t>
  </si>
  <si>
    <t>THỐNG NHÂT</t>
  </si>
  <si>
    <t>PHÚ YÊN</t>
  </si>
  <si>
    <t>0332322093</t>
  </si>
  <si>
    <t>0375130865</t>
  </si>
  <si>
    <t>0386910169</t>
  </si>
  <si>
    <t>ĐÌNH CƯƠNG</t>
  </si>
  <si>
    <t>0868140852</t>
  </si>
  <si>
    <t>SEN NGƯ</t>
  </si>
  <si>
    <t>0865673549</t>
  </si>
  <si>
    <t>0328569663</t>
  </si>
  <si>
    <t>A DƠI</t>
  </si>
  <si>
    <t>AN PHÚ</t>
  </si>
  <si>
    <t>0798431381</t>
  </si>
  <si>
    <t>HIỆP ĐỨC</t>
  </si>
  <si>
    <t>0931937559</t>
  </si>
  <si>
    <t>0344115707</t>
  </si>
  <si>
    <t>ĐIỆN BÀN TÂY</t>
  </si>
  <si>
    <t>ĐIỆN BÀN</t>
  </si>
  <si>
    <t>IA PIA</t>
  </si>
  <si>
    <t>0347036624</t>
  </si>
  <si>
    <t>0796772497</t>
  </si>
  <si>
    <t>0335370144</t>
  </si>
  <si>
    <t>0899987530</t>
  </si>
  <si>
    <t>0935087404</t>
  </si>
  <si>
    <t>ĐĂK PƠ</t>
  </si>
  <si>
    <t>0898393213</t>
  </si>
  <si>
    <t>0373410605</t>
  </si>
  <si>
    <t>0905485921</t>
  </si>
  <si>
    <t>HÀ NHA</t>
  </si>
  <si>
    <t>0867623642</t>
  </si>
  <si>
    <t>0912324713</t>
  </si>
  <si>
    <t>TỊNH KHÊ</t>
  </si>
  <si>
    <t>0338546906</t>
  </si>
  <si>
    <t>VẠN TƯỜNG</t>
  </si>
  <si>
    <t>0862028944</t>
  </si>
  <si>
    <t>PHƯỚC TRÀ</t>
  </si>
  <si>
    <t>0346718725</t>
  </si>
  <si>
    <t>HỘI PHÚ</t>
  </si>
  <si>
    <t>0967240007</t>
  </si>
  <si>
    <t>0364713045</t>
  </si>
  <si>
    <t>IA KO</t>
  </si>
  <si>
    <t>0396965356</t>
  </si>
  <si>
    <t>0326349891</t>
  </si>
  <si>
    <t>THĂNG AN</t>
  </si>
  <si>
    <t>0865330487</t>
  </si>
  <si>
    <t>CHƯ SÊ</t>
  </si>
  <si>
    <t>0393112208</t>
  </si>
  <si>
    <t>0792213418</t>
  </si>
  <si>
    <t>0333858984</t>
  </si>
  <si>
    <t>ĐĂK ĐOA</t>
  </si>
  <si>
    <t>0769403553</t>
  </si>
  <si>
    <t>UAR</t>
  </si>
  <si>
    <t>0862105638</t>
  </si>
  <si>
    <t>0917026382</t>
  </si>
  <si>
    <t>0787595247</t>
  </si>
  <si>
    <t>NAM PHƯỚC</t>
  </si>
  <si>
    <t>0961931355</t>
  </si>
  <si>
    <t>NGŨ HÀNH SƠN</t>
  </si>
  <si>
    <t>0795775598</t>
  </si>
  <si>
    <t>0816790664</t>
  </si>
  <si>
    <t>0935343153</t>
  </si>
  <si>
    <t>0899379320</t>
  </si>
  <si>
    <t>0904586590</t>
  </si>
  <si>
    <t>HÒA XUÂN</t>
  </si>
  <si>
    <t>BIỂN HỒ</t>
  </si>
  <si>
    <t>TÂN HỘI</t>
  </si>
  <si>
    <t>HÒA KHÁNH</t>
  </si>
  <si>
    <t>0913119732</t>
  </si>
  <si>
    <t>0358857596</t>
  </si>
  <si>
    <t>KON TUM</t>
  </si>
  <si>
    <t>BÀN THẠCH</t>
  </si>
  <si>
    <t>MỸ THƯỢNG</t>
  </si>
  <si>
    <t>0905718655</t>
  </si>
  <si>
    <t>0708016247</t>
  </si>
  <si>
    <t>0708127289</t>
  </si>
  <si>
    <t>0972034459</t>
  </si>
  <si>
    <t>0774743676</t>
  </si>
  <si>
    <t>THƯỢNG ĐỨC</t>
  </si>
  <si>
    <t>0974168921</t>
  </si>
  <si>
    <t>0344181802</t>
  </si>
  <si>
    <t>0397031774</t>
  </si>
  <si>
    <t>0388021001</t>
  </si>
  <si>
    <t>EANING</t>
  </si>
  <si>
    <t>NGHỆ AN</t>
  </si>
  <si>
    <t>PHÚ THIỆN</t>
  </si>
  <si>
    <t>QUỲNH ANH</t>
  </si>
  <si>
    <t>VĨNH HOÀNG</t>
  </si>
  <si>
    <t>CHƯ PĂH</t>
  </si>
  <si>
    <t>0768185443</t>
  </si>
  <si>
    <t>0375579024</t>
  </si>
  <si>
    <t>0329782771</t>
  </si>
  <si>
    <t>0914568707</t>
  </si>
  <si>
    <t>0768498575</t>
  </si>
  <si>
    <t>0364697685</t>
  </si>
  <si>
    <t>Hoàng Tuấn</t>
  </si>
  <si>
    <t>Lan</t>
  </si>
  <si>
    <t>Lê Xuân</t>
  </si>
  <si>
    <t>HỘI PHÚC</t>
  </si>
  <si>
    <t>BÌNH ĐỊNH</t>
  </si>
  <si>
    <t>SƠN HÒA</t>
  </si>
  <si>
    <t>ĐIỆN BÀN ĐÔNG</t>
  </si>
  <si>
    <t>HÒA VANG</t>
  </si>
  <si>
    <t>PHÚ THUẬN</t>
  </si>
  <si>
    <t>PHƯỚC GIANG</t>
  </si>
  <si>
    <t>TUY PHƯỚC</t>
  </si>
  <si>
    <t>TRƯỜNG NINH</t>
  </si>
  <si>
    <t>0935352485</t>
  </si>
  <si>
    <t>0812012879</t>
  </si>
  <si>
    <t>0702658578</t>
  </si>
  <si>
    <t>0367003077</t>
  </si>
  <si>
    <t>0388105103</t>
  </si>
  <si>
    <t>0762653373</t>
  </si>
  <si>
    <t>0794598941</t>
  </si>
  <si>
    <t>0931928439</t>
  </si>
  <si>
    <t>0765534402</t>
  </si>
  <si>
    <t>056357452</t>
  </si>
  <si>
    <t>0934741802</t>
  </si>
  <si>
    <t>0777519321</t>
  </si>
  <si>
    <t>0395254730</t>
  </si>
  <si>
    <t>0372738729</t>
  </si>
  <si>
    <t>0914529600</t>
  </si>
  <si>
    <t>0775557102</t>
  </si>
  <si>
    <t>0935972656</t>
  </si>
  <si>
    <t>0377134115</t>
  </si>
  <si>
    <t>0975427372</t>
  </si>
  <si>
    <t>0975746516</t>
  </si>
  <si>
    <t>0795623537</t>
  </si>
  <si>
    <t>0766733924</t>
  </si>
  <si>
    <t>0843008733</t>
  </si>
  <si>
    <t>0374624660</t>
  </si>
  <si>
    <t>0914450788</t>
  </si>
  <si>
    <t>0914568578</t>
  </si>
  <si>
    <t>0368390289</t>
  </si>
  <si>
    <t>IA KRÁI</t>
  </si>
  <si>
    <t>THỐNG NHẤT</t>
  </si>
  <si>
    <t>ĐÔNG DƯƠNG</t>
  </si>
  <si>
    <t>DĨ AN</t>
  </si>
  <si>
    <t>HỒ CHÍ MINH</t>
  </si>
  <si>
    <t>SƠN CẨM HÀ</t>
  </si>
  <si>
    <t>HÒA CƯỜNG</t>
  </si>
  <si>
    <t>THIỆN TÍN</t>
  </si>
  <si>
    <t>0774454415</t>
  </si>
  <si>
    <t>0387211737</t>
  </si>
  <si>
    <t>0795154986</t>
  </si>
  <si>
    <t>0787150952</t>
  </si>
  <si>
    <t>0945951051</t>
  </si>
  <si>
    <t>0975062541</t>
  </si>
  <si>
    <t>0912541282</t>
  </si>
  <si>
    <t>0905691905</t>
  </si>
  <si>
    <t>0868660382</t>
  </si>
  <si>
    <t>0935899220</t>
  </si>
  <si>
    <t>0968833071</t>
  </si>
  <si>
    <t>BÀ NÀ</t>
  </si>
  <si>
    <t>0935303437</t>
  </si>
  <si>
    <t>0934869924</t>
  </si>
  <si>
    <t>0867930817</t>
  </si>
  <si>
    <t>0356083907</t>
  </si>
  <si>
    <t>0377061641</t>
  </si>
  <si>
    <t>ĐỒNG HỚI</t>
  </si>
  <si>
    <t>0333024521</t>
  </si>
  <si>
    <t>0896426581</t>
  </si>
  <si>
    <t>ĐỨC PHỔ</t>
  </si>
  <si>
    <t>0981753942</t>
  </si>
  <si>
    <t>0376805147</t>
  </si>
  <si>
    <t>QUẾ SƠN TRUNG</t>
  </si>
  <si>
    <t>0398985200</t>
  </si>
  <si>
    <t>0337447210</t>
  </si>
  <si>
    <t>TUYÊN HÓA</t>
  </si>
  <si>
    <t>0369307573</t>
  </si>
  <si>
    <t>PHÚ THỌ</t>
  </si>
  <si>
    <t>0386394214</t>
  </si>
  <si>
    <t>0796647499</t>
  </si>
  <si>
    <t>0774530481</t>
  </si>
  <si>
    <t>0799901611</t>
  </si>
  <si>
    <t>0857351567</t>
  </si>
  <si>
    <t>EA NA</t>
  </si>
  <si>
    <t>AN LÃO</t>
  </si>
  <si>
    <t>VINH LỘC</t>
  </si>
  <si>
    <t>BA GIA</t>
  </si>
  <si>
    <t>ĐÔNG SƠN</t>
  </si>
  <si>
    <t>MỎ CÀY</t>
  </si>
  <si>
    <t>0394830900</t>
  </si>
  <si>
    <t>0385636877</t>
  </si>
  <si>
    <t>0356340158</t>
  </si>
  <si>
    <t>0862582509</t>
  </si>
  <si>
    <t>0394559514</t>
  </si>
  <si>
    <t>0948993577</t>
  </si>
  <si>
    <t>0965852901</t>
  </si>
  <si>
    <t>0338910013</t>
  </si>
  <si>
    <t>0795694534</t>
  </si>
  <si>
    <t>0374351015</t>
  </si>
  <si>
    <t>0935141375</t>
  </si>
  <si>
    <t>0366110032</t>
  </si>
  <si>
    <t>0339413697</t>
  </si>
  <si>
    <t>0387189649</t>
  </si>
  <si>
    <t>0397225504</t>
  </si>
  <si>
    <t>0986610353</t>
  </si>
  <si>
    <t>0377523779</t>
  </si>
  <si>
    <t>0372155770</t>
  </si>
  <si>
    <t>0772443452</t>
  </si>
  <si>
    <t>LONG PHỤNG</t>
  </si>
  <si>
    <t>QUY NHƠN ĐÔNG</t>
  </si>
  <si>
    <t>0348774008</t>
  </si>
  <si>
    <t>0366299409</t>
  </si>
  <si>
    <t>0392411659</t>
  </si>
  <si>
    <t>0792655798</t>
  </si>
  <si>
    <t>0973848940</t>
  </si>
  <si>
    <t>0354983568</t>
  </si>
  <si>
    <t>KRÔNG BUK</t>
  </si>
  <si>
    <t>0889263209</t>
  </si>
  <si>
    <t>0775759484</t>
  </si>
  <si>
    <t>0368239092</t>
  </si>
  <si>
    <t>0862834208</t>
  </si>
  <si>
    <t xml:space="preserve">Hoàng Thị Lê </t>
  </si>
  <si>
    <t>GIO LINH</t>
  </si>
  <si>
    <t>0949439972</t>
  </si>
  <si>
    <t>'0348817061</t>
  </si>
  <si>
    <t>0795512817</t>
  </si>
  <si>
    <t>0359313046</t>
  </si>
  <si>
    <t>0384918223</t>
  </si>
  <si>
    <t>HÒA TIẾN</t>
  </si>
  <si>
    <t>THẠNH MỸ</t>
  </si>
  <si>
    <t>CHƯ ATHAI</t>
  </si>
  <si>
    <t>0337132305</t>
  </si>
  <si>
    <t>0337052908</t>
  </si>
  <si>
    <t>TƯ NGHĨA</t>
  </si>
  <si>
    <t>TÂY HỒ</t>
  </si>
  <si>
    <t>VĨNH LINH</t>
  </si>
  <si>
    <t>0853710472</t>
  </si>
  <si>
    <t>0896951722</t>
  </si>
  <si>
    <t>0775138195</t>
  </si>
  <si>
    <t>0945257607</t>
  </si>
  <si>
    <t>0982526213</t>
  </si>
  <si>
    <t>0835601605</t>
  </si>
  <si>
    <t>0905914504</t>
  </si>
  <si>
    <t>0363007143</t>
  </si>
  <si>
    <t>0944307984</t>
  </si>
  <si>
    <t>SƠN TRÀ</t>
  </si>
  <si>
    <t>DUY NGHĨA</t>
  </si>
  <si>
    <t>ĐĂK MAR</t>
  </si>
  <si>
    <t>DANG KANG</t>
  </si>
  <si>
    <t>0386918185</t>
  </si>
  <si>
    <t>0344123997</t>
  </si>
  <si>
    <t>0339414380</t>
  </si>
  <si>
    <t>0796175790</t>
  </si>
  <si>
    <t>SƠN TỊNH</t>
  </si>
  <si>
    <t>AYUNPA</t>
  </si>
  <si>
    <t>CỬU AN</t>
  </si>
  <si>
    <t>0896352708</t>
  </si>
  <si>
    <t>0364344925</t>
  </si>
  <si>
    <t>0326353314</t>
  </si>
  <si>
    <t>0775562916</t>
  </si>
  <si>
    <t>0379669553</t>
  </si>
  <si>
    <t>0934981059</t>
  </si>
  <si>
    <t>0707653507</t>
  </si>
  <si>
    <t>LIÊN CHIỂU</t>
  </si>
  <si>
    <t>NGHĨA LỘ</t>
  </si>
  <si>
    <t>0708133289</t>
  </si>
  <si>
    <t>0344474351</t>
  </si>
  <si>
    <t>TUY ĐỨC</t>
  </si>
  <si>
    <t>ĐÔNG HÀ</t>
  </si>
  <si>
    <t>0947020107</t>
  </si>
  <si>
    <t>0876539361</t>
  </si>
  <si>
    <t>BUÔN MA THUỘT</t>
  </si>
  <si>
    <t>0934756377</t>
  </si>
  <si>
    <t>0854504049</t>
  </si>
  <si>
    <t>0879747220</t>
  </si>
  <si>
    <t>0329714183</t>
  </si>
  <si>
    <t>HÒA PHÚ</t>
  </si>
  <si>
    <t>ĐĂK HÀ</t>
  </si>
  <si>
    <t>TAM XUÂN</t>
  </si>
  <si>
    <t>0359875908</t>
  </si>
  <si>
    <t>0332144006</t>
  </si>
  <si>
    <t>0905856188</t>
  </si>
  <si>
    <t>0357109739</t>
  </si>
  <si>
    <t>0373441038</t>
  </si>
  <si>
    <t>0365451232</t>
  </si>
  <si>
    <t>0345934908</t>
  </si>
  <si>
    <t>HOÀI NHƠN</t>
  </si>
  <si>
    <t>0763686456</t>
  </si>
  <si>
    <t>KRÔNG BÔNG</t>
  </si>
  <si>
    <t>0819606326</t>
  </si>
  <si>
    <t>0329215603</t>
  </si>
  <si>
    <t>0931954088</t>
  </si>
  <si>
    <t>0372344378</t>
  </si>
  <si>
    <t>0703008932</t>
  </si>
  <si>
    <t>0368085369</t>
  </si>
  <si>
    <t>0941990685</t>
  </si>
  <si>
    <t>0986179141</t>
  </si>
  <si>
    <t>0363054395</t>
  </si>
  <si>
    <t>0788660508</t>
  </si>
  <si>
    <t>0345531080</t>
  </si>
  <si>
    <t>0397036508</t>
  </si>
  <si>
    <t>0866071137</t>
  </si>
  <si>
    <t>0702599143</t>
  </si>
  <si>
    <t>AN BÌNH</t>
  </si>
  <si>
    <t>THĂNG ĐIỀN</t>
  </si>
  <si>
    <t>VIỆT AN</t>
  </si>
  <si>
    <t>PHÚ TRẠCH</t>
  </si>
  <si>
    <t>XUÂN PHÚ</t>
  </si>
  <si>
    <t>THĂNG TRƯỜNG</t>
  </si>
  <si>
    <t>29/7/2008</t>
  </si>
  <si>
    <t>07/9/2008</t>
  </si>
  <si>
    <t>30/8/2005</t>
  </si>
  <si>
    <t>14/11/2007</t>
  </si>
  <si>
    <t>0392014126</t>
  </si>
  <si>
    <t>EA TRANG</t>
  </si>
  <si>
    <t>0869966261</t>
  </si>
  <si>
    <t>0399121776</t>
  </si>
  <si>
    <t>VĨNH THỦY</t>
  </si>
  <si>
    <t>0776929673</t>
  </si>
  <si>
    <t>0384149680</t>
  </si>
  <si>
    <t>0777575410</t>
  </si>
  <si>
    <t>0961410557</t>
  </si>
  <si>
    <t>CẨM THÀNH</t>
  </si>
  <si>
    <t>0395325172</t>
  </si>
  <si>
    <t>0388515308</t>
  </si>
  <si>
    <t>0337430042</t>
  </si>
  <si>
    <t>SÔNG CẦU</t>
  </si>
  <si>
    <t>0338775298</t>
  </si>
  <si>
    <t>NAM ĐÔNG HÀ</t>
  </si>
  <si>
    <t>0372431158</t>
  </si>
  <si>
    <t>HẢI LĂNG</t>
  </si>
  <si>
    <t>0395429405</t>
  </si>
  <si>
    <t>NAM GIANH</t>
  </si>
  <si>
    <t>0862137200</t>
  </si>
  <si>
    <t>0905582774</t>
  </si>
  <si>
    <t>0354467769</t>
  </si>
  <si>
    <t>0852035357</t>
  </si>
  <si>
    <t>0399159443</t>
  </si>
  <si>
    <t>0977253323</t>
  </si>
  <si>
    <t>0773260189</t>
  </si>
  <si>
    <t>0364531342</t>
  </si>
  <si>
    <t>CƯ MGAR</t>
  </si>
  <si>
    <t>0919853818</t>
  </si>
  <si>
    <t>0346944936</t>
  </si>
  <si>
    <t>CAM THÀNH</t>
  </si>
  <si>
    <t>0792444317</t>
  </si>
  <si>
    <t>0816147346</t>
  </si>
  <si>
    <t>0382776853</t>
  </si>
  <si>
    <t>VẠN AN</t>
  </si>
  <si>
    <t>0971981117</t>
  </si>
  <si>
    <t>CAM HỒNG</t>
  </si>
  <si>
    <t>0379575637</t>
  </si>
  <si>
    <t>0828732179</t>
  </si>
  <si>
    <t>0962925215</t>
  </si>
  <si>
    <t>0702443775</t>
  </si>
  <si>
    <t>BÌNH CHƯƠNG</t>
  </si>
  <si>
    <t>0333621006</t>
  </si>
  <si>
    <t>0867384503</t>
  </si>
  <si>
    <t>0352316696</t>
  </si>
  <si>
    <t>IA GRAI</t>
  </si>
  <si>
    <t>078553870</t>
  </si>
  <si>
    <t>0777132340</t>
  </si>
  <si>
    <t>0347132761</t>
  </si>
  <si>
    <t>0325891640</t>
  </si>
  <si>
    <t>0339621960</t>
  </si>
  <si>
    <t>0935512311</t>
  </si>
  <si>
    <t>0348573339</t>
  </si>
  <si>
    <t>0356961533</t>
  </si>
  <si>
    <t>CỒN TIÊN</t>
  </si>
  <si>
    <t>0399827372</t>
  </si>
  <si>
    <t>0987330576</t>
  </si>
  <si>
    <t>KON GANG</t>
  </si>
  <si>
    <t>SA LOONG</t>
  </si>
  <si>
    <t>0967673440</t>
  </si>
  <si>
    <t>BẾN HẢI</t>
  </si>
  <si>
    <t>0854340272</t>
  </si>
  <si>
    <t>0865531567</t>
  </si>
  <si>
    <t>0962604314</t>
  </si>
  <si>
    <t>0343617862</t>
  </si>
  <si>
    <t>DỤC NÔNG</t>
  </si>
  <si>
    <t>0886744007</t>
  </si>
  <si>
    <t>KRÔNG BÚK</t>
  </si>
  <si>
    <t>EA NUÔL</t>
  </si>
  <si>
    <t>0359513678</t>
  </si>
  <si>
    <t>0353624752</t>
  </si>
  <si>
    <t>ĐỨC CƠ</t>
  </si>
  <si>
    <t>0339718300</t>
  </si>
  <si>
    <t>HOÀI ÂN</t>
  </si>
  <si>
    <t>0378034853</t>
  </si>
  <si>
    <t>ÁI TỬ</t>
  </si>
  <si>
    <t>0833095745</t>
  </si>
  <si>
    <t>0348944587</t>
  </si>
  <si>
    <t>0944295948</t>
  </si>
  <si>
    <t>TUY PHƯỚC BẮC</t>
  </si>
  <si>
    <t>0345958705</t>
  </si>
  <si>
    <t>CỬA AN</t>
  </si>
  <si>
    <t>0359158357</t>
  </si>
  <si>
    <t>0356006312</t>
  </si>
  <si>
    <t>0967152423</t>
  </si>
  <si>
    <t>PHƯỚC CHÁNH</t>
  </si>
  <si>
    <t>0867724651</t>
  </si>
  <si>
    <t>SƠN HỒNG</t>
  </si>
  <si>
    <t>0394729556</t>
  </si>
  <si>
    <t>TÂN AN</t>
  </si>
  <si>
    <t>QUẢNG TRẠCH</t>
  </si>
  <si>
    <t>EA DRĂNG</t>
  </si>
  <si>
    <t>0325801645</t>
  </si>
  <si>
    <t>KON GIANG</t>
  </si>
  <si>
    <t>0326108464</t>
  </si>
  <si>
    <t>0829729333</t>
  </si>
  <si>
    <t>PHƯỚC THÀNH</t>
  </si>
  <si>
    <t>0342865521</t>
  </si>
  <si>
    <t>0792521674</t>
  </si>
  <si>
    <t>0393155786</t>
  </si>
  <si>
    <t>0886725287</t>
  </si>
  <si>
    <t>Hoàng Mạnh</t>
  </si>
  <si>
    <t>0386820173</t>
  </si>
  <si>
    <t>IA TƠI</t>
  </si>
  <si>
    <t>0384509873</t>
  </si>
  <si>
    <t>0325321677</t>
  </si>
  <si>
    <t>EA HLEO</t>
  </si>
  <si>
    <t>0353869102</t>
  </si>
  <si>
    <t>0328192400</t>
  </si>
  <si>
    <t>0369796172</t>
  </si>
  <si>
    <t>0365390750</t>
  </si>
  <si>
    <t>NGHĨA GIANG</t>
  </si>
  <si>
    <t>0911727470</t>
  </si>
  <si>
    <t>0855258168</t>
  </si>
  <si>
    <t>0384987495</t>
  </si>
  <si>
    <t>0835080988</t>
  </si>
  <si>
    <t>Huỳnh Châu Phương</t>
  </si>
  <si>
    <t>0355699828</t>
  </si>
  <si>
    <t>06/05/2007</t>
  </si>
  <si>
    <t>Đỗ Văn Đức</t>
  </si>
  <si>
    <t>Huỳnh Công</t>
  </si>
  <si>
    <t>Lê Anh</t>
  </si>
  <si>
    <t>Phan Khánh</t>
  </si>
  <si>
    <t>Lê Phương</t>
  </si>
  <si>
    <t>Trần Thanh</t>
  </si>
  <si>
    <t>Mẫn</t>
  </si>
  <si>
    <t>Nguyễn Lương</t>
  </si>
  <si>
    <t>Huỳnh Vũ</t>
  </si>
  <si>
    <t xml:space="preserve">Vũ Hoàng </t>
  </si>
  <si>
    <t>Phạm Văn</t>
  </si>
  <si>
    <t>Nguyễn Văn Minh</t>
  </si>
  <si>
    <t>Nguyễn Minh</t>
  </si>
  <si>
    <t>Ngô Xuân</t>
  </si>
  <si>
    <t>Thái Phi</t>
  </si>
  <si>
    <t>22/8/2008</t>
  </si>
  <si>
    <t>11/11/2008</t>
  </si>
  <si>
    <t>Thuần</t>
  </si>
  <si>
    <t>Đoàn Thị Thùy</t>
  </si>
  <si>
    <t>02/10/2008</t>
  </si>
  <si>
    <t>07/04/2007</t>
  </si>
  <si>
    <t>31/10/2008</t>
  </si>
  <si>
    <t>13/10/2004</t>
  </si>
  <si>
    <t>26/02/2007</t>
  </si>
  <si>
    <t>25/06/2008</t>
  </si>
  <si>
    <t>30/09/2008</t>
  </si>
  <si>
    <t>13/11/2008</t>
  </si>
  <si>
    <t>16/06/2008</t>
  </si>
  <si>
    <t>17/04/2008</t>
  </si>
  <si>
    <t>26/9/2008</t>
  </si>
  <si>
    <t>Võ Anh</t>
  </si>
  <si>
    <t>Cao Nguyễn Anh</t>
  </si>
  <si>
    <t>Võ Lê Ngọc</t>
  </si>
  <si>
    <t>Phan Văn Bảo</t>
  </si>
  <si>
    <t>Nguyễn Mậu Anh</t>
  </si>
  <si>
    <t>Nguyễn Tiến</t>
  </si>
  <si>
    <t>Nguyễn Viễn</t>
  </si>
  <si>
    <t>15/09/2007</t>
  </si>
  <si>
    <t>Võ Thị</t>
  </si>
  <si>
    <t>Dương</t>
  </si>
  <si>
    <t>TÙNG LỘC</t>
  </si>
  <si>
    <t>Đỗ Đắc</t>
  </si>
  <si>
    <t>Thời</t>
  </si>
  <si>
    <t xml:space="preserve">Nguyễn Hữu </t>
  </si>
  <si>
    <t>Nguyễn Phương</t>
  </si>
  <si>
    <t>Trần Yến</t>
  </si>
  <si>
    <t>Phùng Thị Quỳnh</t>
  </si>
  <si>
    <t>10/09/2008</t>
  </si>
  <si>
    <t>04/9/2008</t>
  </si>
  <si>
    <t>12/12/2008</t>
  </si>
  <si>
    <t>26/10/2008</t>
  </si>
  <si>
    <t xml:space="preserve">Thái Lý </t>
  </si>
  <si>
    <t>Nguyễn Hoàng</t>
  </si>
  <si>
    <t>Nguyễn Duy</t>
  </si>
  <si>
    <t>Nguyễn Phước</t>
  </si>
  <si>
    <t>Nguyễn Quốc</t>
  </si>
  <si>
    <t>16/01/2008</t>
  </si>
  <si>
    <t>19/09/2008</t>
  </si>
  <si>
    <t>23/07/2008</t>
  </si>
  <si>
    <t>Trần Công</t>
  </si>
  <si>
    <t>Nguyễn Văn</t>
  </si>
  <si>
    <t>Huỳnh Anh</t>
  </si>
  <si>
    <t>Đại</t>
  </si>
  <si>
    <t>Huỳnh Đức</t>
  </si>
  <si>
    <t>Lê Bảo</t>
  </si>
  <si>
    <t>Trương Thị Mỹ</t>
  </si>
  <si>
    <t>Nguyễn Thị Thu</t>
  </si>
  <si>
    <t>Lương Ngọc</t>
  </si>
  <si>
    <t>Dương Thị Mỹ</t>
  </si>
  <si>
    <t>Viên</t>
  </si>
  <si>
    <t>01/06/2008</t>
  </si>
  <si>
    <t>20/09/2007</t>
  </si>
  <si>
    <t>23/01/2008</t>
  </si>
  <si>
    <t>Chuin</t>
  </si>
  <si>
    <t>Nguyễn Bùi Thanh</t>
  </si>
  <si>
    <t>Tuyền</t>
  </si>
  <si>
    <t>Nguyễn Hương</t>
  </si>
  <si>
    <t>Trần Văn</t>
  </si>
  <si>
    <t>Phan Xuân</t>
  </si>
  <si>
    <t xml:space="preserve">Võ Tiến </t>
  </si>
  <si>
    <t>30/04/2006</t>
  </si>
  <si>
    <t>Nguyễn Thị Kim</t>
  </si>
  <si>
    <t>Đặng Thị</t>
  </si>
  <si>
    <t>AN NHƠN NAM</t>
  </si>
  <si>
    <t>HRA</t>
  </si>
  <si>
    <t>HẢI VÂN</t>
  </si>
  <si>
    <t>IAO</t>
  </si>
  <si>
    <t>SƠN LANG</t>
  </si>
  <si>
    <t>MANG YANG</t>
  </si>
  <si>
    <t>B'LAO</t>
  </si>
  <si>
    <t>Hiểu</t>
  </si>
  <si>
    <t>HOÀI NHƠN BẮC</t>
  </si>
  <si>
    <t>0396686325</t>
  </si>
  <si>
    <t xml:space="preserve">0867725288 </t>
  </si>
  <si>
    <t>0398902429</t>
  </si>
  <si>
    <t>0868144679</t>
  </si>
  <si>
    <t>0364041255</t>
  </si>
  <si>
    <t>0333496062</t>
  </si>
  <si>
    <t>0349562162</t>
  </si>
  <si>
    <t>0963205477</t>
  </si>
  <si>
    <t xml:space="preserve">Phan Văn </t>
  </si>
  <si>
    <t>Phải</t>
  </si>
  <si>
    <t>ĐỀ GI</t>
  </si>
  <si>
    <t>0987916758</t>
  </si>
  <si>
    <t>EA KTUR</t>
  </si>
  <si>
    <t>0388590282</t>
  </si>
  <si>
    <t>Trần Thị Minh</t>
  </si>
  <si>
    <t>TRƯƠNG QUANG TRỌNG</t>
  </si>
  <si>
    <t>0333875552</t>
  </si>
  <si>
    <t>0336731265</t>
  </si>
  <si>
    <t>0704083541</t>
  </si>
  <si>
    <t>0349365143</t>
  </si>
  <si>
    <t>EA TUL</t>
  </si>
  <si>
    <t>0346203634</t>
  </si>
  <si>
    <t>23/02/2008</t>
  </si>
  <si>
    <t>21/06/2008</t>
  </si>
  <si>
    <t>27/10/2008</t>
  </si>
  <si>
    <t>20/10/2008</t>
  </si>
  <si>
    <t>Trần Minh</t>
  </si>
  <si>
    <t>Nguyễn Công</t>
  </si>
  <si>
    <t>Luận</t>
  </si>
  <si>
    <t>Hà Vũ</t>
  </si>
  <si>
    <t>Đinh Thành</t>
  </si>
  <si>
    <t>14/11/2008</t>
  </si>
  <si>
    <t>23/9/2008</t>
  </si>
  <si>
    <t>14/07/2008</t>
  </si>
  <si>
    <t>11/01/2008</t>
  </si>
  <si>
    <t>16/12/2008</t>
  </si>
  <si>
    <t>07/10/2007</t>
  </si>
  <si>
    <t>06/08/2008</t>
  </si>
  <si>
    <t>25/12/2008</t>
  </si>
  <si>
    <t>18/10/2008</t>
  </si>
  <si>
    <t>Nguyễn Lê Hải</t>
  </si>
  <si>
    <t>Ngũ Quốc</t>
  </si>
  <si>
    <t>Trần Quang</t>
  </si>
  <si>
    <t>Phạm Quốc</t>
  </si>
  <si>
    <t>Nguyễn Thành</t>
  </si>
  <si>
    <t>Sáng</t>
  </si>
  <si>
    <t>Nguyễn Nguyên</t>
  </si>
  <si>
    <t xml:space="preserve">Lê Huỳnh Thái </t>
  </si>
  <si>
    <t>Lê Đắc</t>
  </si>
  <si>
    <t>Thường</t>
  </si>
  <si>
    <t>Nguyễn Văn Mạnh</t>
  </si>
  <si>
    <t>Đỗ Tấn</t>
  </si>
  <si>
    <t>Ngô Quốc</t>
  </si>
  <si>
    <t>Phan Lê Tuấn</t>
  </si>
  <si>
    <t>Nguyễn Quốc Duy</t>
  </si>
  <si>
    <t>Trần Bảo</t>
  </si>
  <si>
    <t>Lê Thiện</t>
  </si>
  <si>
    <t>Nguyễn Trần Quang</t>
  </si>
  <si>
    <t>Phạm Anh</t>
  </si>
  <si>
    <t>09/01/2008</t>
  </si>
  <si>
    <t>19/11/2008</t>
  </si>
  <si>
    <t>03/11/2007</t>
  </si>
  <si>
    <t>02/11/2008</t>
  </si>
  <si>
    <t>31/05/2007</t>
  </si>
  <si>
    <t>27/04/2008</t>
  </si>
  <si>
    <t>27/6/2008</t>
  </si>
  <si>
    <t>14/06/208</t>
  </si>
  <si>
    <t>Phan Văn</t>
  </si>
  <si>
    <t>Phạm Thị Hoài</t>
  </si>
  <si>
    <t>Đoàn Thị Nguyễn</t>
  </si>
  <si>
    <t>Nguyễn Hoàng Thiên</t>
  </si>
  <si>
    <t>13/06/2008</t>
  </si>
  <si>
    <t>04/05/2008</t>
  </si>
  <si>
    <t>30/08/2005</t>
  </si>
  <si>
    <t>02/9/2008</t>
  </si>
  <si>
    <t>05/06/2008</t>
  </si>
  <si>
    <t>05/09/2008</t>
  </si>
  <si>
    <t>19/06/2008</t>
  </si>
  <si>
    <t>Phạm Thị Thúy</t>
  </si>
  <si>
    <t>Đoàn Ngọc Phương</t>
  </si>
  <si>
    <t>20/01/2008</t>
  </si>
  <si>
    <t>07/01/2005</t>
  </si>
  <si>
    <t>Nguyễn Hồng</t>
  </si>
  <si>
    <t xml:space="preserve">Hồ Quảng </t>
  </si>
  <si>
    <t>Nguyễn Triệu Yến</t>
  </si>
  <si>
    <t>Nguyễn Thị Thanh</t>
  </si>
  <si>
    <t>Nguyễn Gia</t>
  </si>
  <si>
    <t>27/01/2008</t>
  </si>
  <si>
    <t>01/01/2008</t>
  </si>
  <si>
    <t>26/7/2008</t>
  </si>
  <si>
    <t>Võ Thiện</t>
  </si>
  <si>
    <t>Đỗ Thiên</t>
  </si>
  <si>
    <t>Trần Thị Bích</t>
  </si>
  <si>
    <t>Lê Thị Thùy</t>
  </si>
  <si>
    <t>30/10/2008</t>
  </si>
  <si>
    <t>15/08/2008</t>
  </si>
  <si>
    <t>10/12/2001</t>
  </si>
  <si>
    <t>27/08/2008</t>
  </si>
  <si>
    <t>Nay Hờ</t>
  </si>
  <si>
    <t>Trương Nguyễn Anh</t>
  </si>
  <si>
    <t>29/9/2008</t>
  </si>
  <si>
    <t>11/07/2007</t>
  </si>
  <si>
    <t>04/8/2008</t>
  </si>
  <si>
    <t>14/02/2008</t>
  </si>
  <si>
    <t>Vũ Thành</t>
  </si>
  <si>
    <t>Ksor</t>
  </si>
  <si>
    <t>0355890793</t>
  </si>
  <si>
    <t>0378214525</t>
  </si>
  <si>
    <t>NGHĨA HÀNH</t>
  </si>
  <si>
    <t>0337607153</t>
  </si>
  <si>
    <t>0899715223</t>
  </si>
  <si>
    <t>Trần Huỳnh Anh</t>
  </si>
  <si>
    <t>Nguyễn Đức Anh</t>
  </si>
  <si>
    <t>Tuấn</t>
  </si>
  <si>
    <t>EA BÁ</t>
  </si>
  <si>
    <t>0385097126</t>
  </si>
  <si>
    <t>VĨNH QUANG</t>
  </si>
  <si>
    <t>0975484513</t>
  </si>
  <si>
    <t>TUY AN NAM</t>
  </si>
  <si>
    <t>0869737782</t>
  </si>
  <si>
    <t>0857110508</t>
  </si>
  <si>
    <t>PHÚ TÚC</t>
  </si>
  <si>
    <t>0899848384</t>
  </si>
  <si>
    <t>AN NHƠN BẮC</t>
  </si>
  <si>
    <t>0353907347</t>
  </si>
  <si>
    <t>DUY XUYÊN</t>
  </si>
  <si>
    <t>0905621830</t>
  </si>
  <si>
    <t>Nguyễn Thị Mỹ</t>
  </si>
  <si>
    <t>0896267358</t>
  </si>
  <si>
    <t>NGÀNH CÔNG NGHỆ KỸ THUẬT Ô TÔ - LỚP CN11A1</t>
  </si>
  <si>
    <t>NGÀNH CÔNG NGHỆ KỸ THUẬT Ô TÔ - LỚP CN11A4</t>
  </si>
  <si>
    <t>NGÀNH CÔNG NGHỆ KỸ THUẬT Ô TÔ - LỚP CN11A3</t>
  </si>
  <si>
    <t>NGÀNH CÔNG NGHỆ KỸ THUẬT Ô TÔ - LỚP CN11A2</t>
  </si>
  <si>
    <t>NGÀNH CÔNG NGHỆ KỸ THUẬT ĐIỆN ĐIỆN TỬ- LỚP CĐ19A2</t>
  </si>
  <si>
    <t>NGÀNH CÔNG NGHỆ KỸ THUẬT ĐIỆN ĐIỆN TỬ- LỚP CĐ19A1</t>
  </si>
  <si>
    <t>NGÀNH ĐIỀU DƯỠNG - LỚP ĐD18A1</t>
  </si>
  <si>
    <t>NGÀNH ĐIỀU DƯỠNG - LỚP ĐD18A3</t>
  </si>
  <si>
    <t>NGÀNH ĐIỀU DƯỠNG - LỚP ĐD18A2</t>
  </si>
  <si>
    <t>0913264332</t>
  </si>
  <si>
    <t>0354770954</t>
  </si>
  <si>
    <t>0373406132</t>
  </si>
  <si>
    <t>0332243060</t>
  </si>
  <si>
    <t xml:space="preserve">Nguyễn Quốc Bảo </t>
  </si>
  <si>
    <t>Lê Hoàng</t>
  </si>
  <si>
    <t>Dương Quang</t>
  </si>
  <si>
    <t>Lương Tấn</t>
  </si>
  <si>
    <t>Bùi Minh</t>
  </si>
  <si>
    <t>Lợi</t>
  </si>
  <si>
    <t>Lê Hoài</t>
  </si>
  <si>
    <t>13/03/2008</t>
  </si>
  <si>
    <t>08/12/2007</t>
  </si>
  <si>
    <t>05/02/2008</t>
  </si>
  <si>
    <t>11/12/2008</t>
  </si>
  <si>
    <t>01/07/2008</t>
  </si>
  <si>
    <t>Phạm Công</t>
  </si>
  <si>
    <t>Cao Ngọc</t>
  </si>
  <si>
    <t>Oánh</t>
  </si>
  <si>
    <t>Thân Triệu</t>
  </si>
  <si>
    <t>Nguyễn Văn Triệu</t>
  </si>
  <si>
    <t>Đặng Bảo</t>
  </si>
  <si>
    <t>Phạm Hữu</t>
  </si>
  <si>
    <t>27/11/2006</t>
  </si>
  <si>
    <t>25/04/2005</t>
  </si>
  <si>
    <t>29/09/2008</t>
  </si>
  <si>
    <t>28/09/2008</t>
  </si>
  <si>
    <t>18/06/2008</t>
  </si>
  <si>
    <t>24/8/2008</t>
  </si>
  <si>
    <t>05/11/2008</t>
  </si>
  <si>
    <t>Lê Hữu</t>
  </si>
  <si>
    <t>Phan Công</t>
  </si>
  <si>
    <t>12/02/2008</t>
  </si>
  <si>
    <t>Đỗ Thanh Xuân</t>
  </si>
  <si>
    <t>Nguyễn Thị Như</t>
  </si>
  <si>
    <t>15/03/2008</t>
  </si>
  <si>
    <t>27/07/2007</t>
  </si>
  <si>
    <t>13/01/2003</t>
  </si>
  <si>
    <t>18/11/2007</t>
  </si>
  <si>
    <t>Đoàn Quốc</t>
  </si>
  <si>
    <t>Trần Huy</t>
  </si>
  <si>
    <t xml:space="preserve">Nguyễn Lê Bảo </t>
  </si>
  <si>
    <t>21/11/2008</t>
  </si>
  <si>
    <t>12/08/2008</t>
  </si>
  <si>
    <t>19/03/2008</t>
  </si>
  <si>
    <t>21/02/2008</t>
  </si>
  <si>
    <t>08/02/2008</t>
  </si>
  <si>
    <t>Trần Thị</t>
  </si>
  <si>
    <t>Nguyễn Chí</t>
  </si>
  <si>
    <t>Nguyễn Trần Anh</t>
  </si>
  <si>
    <t>21/09/1998</t>
  </si>
  <si>
    <t>17/11/2008</t>
  </si>
  <si>
    <t>12/10/2008</t>
  </si>
  <si>
    <t>Ngô Anh</t>
  </si>
  <si>
    <t>từ TN6 chuyển sang</t>
  </si>
  <si>
    <t>NGÀNH CÔNG NGHỆ KỸ THUẬT Ô TÔ - LỚP CN11A5</t>
  </si>
  <si>
    <t>SĐT
 SINH VIÊN</t>
  </si>
  <si>
    <t>0354235370</t>
  </si>
  <si>
    <t>LỚP PHÓ</t>
  </si>
  <si>
    <t>EA KAR</t>
  </si>
  <si>
    <t>0961499365</t>
  </si>
  <si>
    <t>LỚP TRƯỞNG</t>
  </si>
  <si>
    <t xml:space="preserve">Hoàng Quang </t>
  </si>
  <si>
    <t>0867391432</t>
  </si>
  <si>
    <t>Phan Mạnh</t>
  </si>
  <si>
    <t>0787271631</t>
  </si>
  <si>
    <t>PHÚ THIÊM</t>
  </si>
  <si>
    <t>0344530026</t>
  </si>
  <si>
    <t>0396289457</t>
  </si>
  <si>
    <t>0975069537</t>
  </si>
  <si>
    <t>0983858426</t>
  </si>
  <si>
    <t>BỜ NGOONG</t>
  </si>
  <si>
    <t>0798261545</t>
  </si>
  <si>
    <t>PLEIKU</t>
  </si>
  <si>
    <t>NAM CỬA VIỆT</t>
  </si>
  <si>
    <t>0334542975</t>
  </si>
  <si>
    <t>0359652921</t>
  </si>
  <si>
    <t>0879768208</t>
  </si>
  <si>
    <t>ĐĂK CẮM</t>
  </si>
  <si>
    <t>0979730163</t>
  </si>
  <si>
    <t>0346172707</t>
  </si>
  <si>
    <t>0325302464</t>
  </si>
  <si>
    <t>0777446922</t>
  </si>
  <si>
    <t>0773332125</t>
  </si>
  <si>
    <t>EA CHUN</t>
  </si>
  <si>
    <t>0368083834</t>
  </si>
  <si>
    <t>THANH KHÊ</t>
  </si>
  <si>
    <t>0789209451</t>
  </si>
  <si>
    <t>0786505621</t>
  </si>
  <si>
    <t>0365091925</t>
  </si>
  <si>
    <t>Nguyễn Hồ Quỳnh</t>
  </si>
  <si>
    <t>0366264108</t>
  </si>
  <si>
    <t>25/07/2008</t>
  </si>
  <si>
    <t>02/06/2008</t>
  </si>
  <si>
    <t>26/07/2008</t>
  </si>
  <si>
    <t>07/01/2007</t>
  </si>
  <si>
    <t>Nguyễn Phú Hoàn</t>
  </si>
  <si>
    <t>Dương Thanh</t>
  </si>
  <si>
    <t>Đinh Văn</t>
  </si>
  <si>
    <t>Sỹ</t>
  </si>
  <si>
    <t>Nguyễn Long</t>
  </si>
  <si>
    <t>04/06/2008</t>
  </si>
  <si>
    <t>05/12/2007</t>
  </si>
  <si>
    <t>01/11/2008</t>
  </si>
  <si>
    <t>Lương Huỳnh</t>
  </si>
  <si>
    <t>Trương Ngọc</t>
  </si>
  <si>
    <t>Lưu Văn</t>
  </si>
  <si>
    <t>Lịch</t>
  </si>
  <si>
    <t>Trương Quang</t>
  </si>
  <si>
    <t>27/02/2008</t>
  </si>
  <si>
    <t>Trần Anh</t>
  </si>
  <si>
    <t>04/06/2001</t>
  </si>
  <si>
    <t>01/9/2008</t>
  </si>
  <si>
    <t>13/12/2008</t>
  </si>
  <si>
    <t>Nguyễn Huỳnh Duy</t>
  </si>
  <si>
    <t>Phan Thị Thiên</t>
  </si>
  <si>
    <t xml:space="preserve">Đỗ Tâm </t>
  </si>
  <si>
    <t>Trần Hoàng Ngọc</t>
  </si>
  <si>
    <t>Tâm</t>
  </si>
  <si>
    <t xml:space="preserve">Huỳnh Nữ Huyền </t>
  </si>
  <si>
    <t>Lê Văn</t>
  </si>
  <si>
    <t>Đặng Thanh</t>
  </si>
  <si>
    <t>Sơn</t>
  </si>
  <si>
    <t>0387485740</t>
  </si>
  <si>
    <t>0342369073</t>
  </si>
  <si>
    <t>TÂN MAI</t>
  </si>
  <si>
    <t>0799372250</t>
  </si>
  <si>
    <t>0896318437</t>
  </si>
  <si>
    <t>0984706867</t>
  </si>
  <si>
    <t>0832932654</t>
  </si>
  <si>
    <t>BÌNH MINH</t>
  </si>
  <si>
    <t>0368158052</t>
  </si>
  <si>
    <t>0762574587</t>
  </si>
  <si>
    <t>LỆ THỦY</t>
  </si>
  <si>
    <t>0337168583</t>
  </si>
  <si>
    <t>0777472752</t>
  </si>
  <si>
    <t>0355571959</t>
  </si>
  <si>
    <t xml:space="preserve">Vũ Hoàng An </t>
  </si>
  <si>
    <t>Ninh</t>
  </si>
  <si>
    <t>Nguyễn Trung</t>
  </si>
  <si>
    <t>Đỗ Hoàng Thế</t>
  </si>
  <si>
    <t>24/06/2008</t>
  </si>
  <si>
    <t>03/03/2006</t>
  </si>
  <si>
    <t>06/01/2008</t>
  </si>
  <si>
    <t>Nguyễn Dương Tấn</t>
  </si>
  <si>
    <t>Phạm Huy</t>
  </si>
  <si>
    <t xml:space="preserve">Huỳnh Trần Vũ </t>
  </si>
  <si>
    <t>04/10/2008</t>
  </si>
  <si>
    <t>Nguyễn Ngọc</t>
  </si>
  <si>
    <t>Bùi Thị Như</t>
  </si>
  <si>
    <t>Trần Đăng Họa</t>
  </si>
  <si>
    <t>Nguyễn Đắc</t>
  </si>
  <si>
    <t>Ngô Hồng</t>
  </si>
  <si>
    <t>Y</t>
  </si>
  <si>
    <t>a3</t>
  </si>
  <si>
    <t>NAM HẢI LĂNG</t>
  </si>
  <si>
    <t>0966205084</t>
  </si>
  <si>
    <t>0788555754</t>
  </si>
  <si>
    <t>A5</t>
  </si>
  <si>
    <t>A4</t>
  </si>
  <si>
    <t>0365302682</t>
  </si>
  <si>
    <t>DIÊN HỒNG</t>
  </si>
  <si>
    <t>0982277668</t>
  </si>
  <si>
    <t>A2 sang</t>
  </si>
  <si>
    <t>Trần Quốc</t>
  </si>
  <si>
    <t>Hồ Anh</t>
  </si>
  <si>
    <t xml:space="preserve">Ngô Mậu </t>
  </si>
  <si>
    <t>Phạm Gia</t>
  </si>
  <si>
    <t>28/09/1976</t>
  </si>
  <si>
    <t>21/7/2008</t>
  </si>
  <si>
    <t>Lê Trần Ngọc</t>
  </si>
  <si>
    <t>Lê Hải</t>
  </si>
  <si>
    <t>Huỳnh Bảo</t>
  </si>
  <si>
    <t>Rơ Lan Hồng</t>
  </si>
  <si>
    <t>Huệ</t>
  </si>
  <si>
    <t>Đinh Hiền</t>
  </si>
  <si>
    <t>Dịu</t>
  </si>
  <si>
    <t>Nguyễn Thị Quỳnh</t>
  </si>
  <si>
    <t>25/12/2028</t>
  </si>
  <si>
    <t>27/8/2008</t>
  </si>
  <si>
    <t>28/04/2008</t>
  </si>
  <si>
    <t>Tịnh</t>
  </si>
  <si>
    <t>Võ Huỳnh Khánh</t>
  </si>
  <si>
    <t>Lê Nguyễn Nhật</t>
  </si>
  <si>
    <t>0838060309</t>
  </si>
  <si>
    <t>0813508173</t>
  </si>
  <si>
    <t>0814504969</t>
  </si>
  <si>
    <t>DIÊN SANH</t>
  </si>
  <si>
    <t>0848456252</t>
  </si>
  <si>
    <t>0373631797</t>
  </si>
  <si>
    <t>0393987752</t>
  </si>
  <si>
    <t>VẠN LỘC</t>
  </si>
  <si>
    <t>THANH HÓA</t>
  </si>
  <si>
    <t>0373470539</t>
  </si>
  <si>
    <t>0333502751</t>
  </si>
  <si>
    <t>0867657160</t>
  </si>
  <si>
    <t>0977427349</t>
  </si>
  <si>
    <t>0987900176</t>
  </si>
  <si>
    <t>0935691415</t>
  </si>
  <si>
    <t>0794508717</t>
  </si>
  <si>
    <t>SÔNG VÀNG</t>
  </si>
  <si>
    <t>0832354158</t>
  </si>
  <si>
    <t>VĨNH ĐỊNH</t>
  </si>
  <si>
    <t>0354354017</t>
  </si>
  <si>
    <t>0945973359</t>
  </si>
  <si>
    <t>0823066483</t>
  </si>
  <si>
    <t>0705135457</t>
  </si>
  <si>
    <t>0788665887</t>
  </si>
  <si>
    <t>0905127356</t>
  </si>
  <si>
    <t>0763796944</t>
  </si>
  <si>
    <t>TUY HÒA</t>
  </si>
  <si>
    <t>0943269646</t>
  </si>
  <si>
    <t>0935424978</t>
  </si>
  <si>
    <t>nhập học 3/8</t>
  </si>
  <si>
    <t>0328399642</t>
  </si>
  <si>
    <t>TỪ A1</t>
  </si>
  <si>
    <t xml:space="preserve">Dương Hải </t>
  </si>
  <si>
    <t>0372036267</t>
  </si>
  <si>
    <t>TỪ A3</t>
  </si>
  <si>
    <t>Đỗ Thành</t>
  </si>
  <si>
    <t>0985501214</t>
  </si>
  <si>
    <t>07/05/2007</t>
  </si>
  <si>
    <t>28/11/2008</t>
  </si>
  <si>
    <t>12/01/2008</t>
  </si>
  <si>
    <t>03/07/2008</t>
  </si>
  <si>
    <t>01/12/2008</t>
  </si>
  <si>
    <t>05/08/2008</t>
  </si>
  <si>
    <t>11/09/2008</t>
  </si>
  <si>
    <t>19/05/2008</t>
  </si>
  <si>
    <t>11/10/2008</t>
  </si>
  <si>
    <t>02/08/2005</t>
  </si>
  <si>
    <t>15/02/2008</t>
  </si>
  <si>
    <t>31/12/2008</t>
  </si>
  <si>
    <t>Phạm Tuấn</t>
  </si>
  <si>
    <t>Trần Võ Quốc</t>
  </si>
  <si>
    <t>Pháp</t>
  </si>
  <si>
    <t xml:space="preserve">Phan Đông </t>
  </si>
  <si>
    <t>Tấn</t>
  </si>
  <si>
    <t>Nguyễn Quang</t>
  </si>
  <si>
    <t>Đào Anh</t>
  </si>
  <si>
    <t>Thái</t>
  </si>
  <si>
    <t>Phạm Minh</t>
  </si>
  <si>
    <t>Đặng Nguyễn Minh</t>
  </si>
  <si>
    <t>Nguyễn Đình</t>
  </si>
  <si>
    <t>Phạm Nhật</t>
  </si>
  <si>
    <t>Lê Trường</t>
  </si>
  <si>
    <t>Nguyễn Trần Gia</t>
  </si>
  <si>
    <t>10/8 đi học</t>
  </si>
  <si>
    <t>0373330105</t>
  </si>
  <si>
    <t>06/12/2007</t>
  </si>
  <si>
    <t>01/04/2008</t>
  </si>
  <si>
    <t>06/02/2008</t>
  </si>
  <si>
    <t>09/12/2008</t>
  </si>
  <si>
    <t>26/02/2008</t>
  </si>
  <si>
    <t>01/02/2008</t>
  </si>
  <si>
    <t>19/07/2008</t>
  </si>
  <si>
    <t>20/9/2008</t>
  </si>
  <si>
    <t>13/05/2008</t>
  </si>
  <si>
    <t>29/12/2007</t>
  </si>
  <si>
    <t>21/04/2008</t>
  </si>
  <si>
    <t>02/09/2008</t>
  </si>
  <si>
    <t>29/01/2008</t>
  </si>
  <si>
    <t>23/11/2008</t>
  </si>
  <si>
    <t>Vy Tấn</t>
  </si>
  <si>
    <t>Phạm Thanh</t>
  </si>
  <si>
    <t>Nguyễn Quốc Long</t>
  </si>
  <si>
    <t>Lê Huy</t>
  </si>
  <si>
    <t>Lê Phạm Quốc</t>
  </si>
  <si>
    <t>Nguyễn Mai Duy</t>
  </si>
  <si>
    <t>Đỗ Hữu</t>
  </si>
  <si>
    <t>Lê Thái</t>
  </si>
  <si>
    <t xml:space="preserve">Triệu Việt </t>
  </si>
  <si>
    <t>Trần Kỳ</t>
  </si>
  <si>
    <t>Vận</t>
  </si>
  <si>
    <t>Nguyễn Phước Trung</t>
  </si>
  <si>
    <t>Huỳnh Đại</t>
  </si>
  <si>
    <t xml:space="preserve">Ung Nho Phi </t>
  </si>
  <si>
    <t>0799616705</t>
  </si>
  <si>
    <t>Huỳnh Văn</t>
  </si>
  <si>
    <t>Nguyễn Ngọc Tuấn</t>
  </si>
  <si>
    <t>20/02/2007</t>
  </si>
  <si>
    <t>15/01/2008</t>
  </si>
  <si>
    <t>18/07/2006</t>
  </si>
  <si>
    <t>Phan Huỳnh Hoàng</t>
  </si>
  <si>
    <t>Đặng Thị Yến</t>
  </si>
  <si>
    <t>Huỳnh Thu</t>
  </si>
  <si>
    <t>Nguyễn Thị Phương</t>
  </si>
  <si>
    <t>Nguyễn Thị Bích</t>
  </si>
  <si>
    <t>Phượng</t>
  </si>
  <si>
    <t>Trần Ánh</t>
  </si>
  <si>
    <t>Lê Nguyễn Thủy</t>
  </si>
  <si>
    <t>10/06/2008</t>
  </si>
  <si>
    <t>25/02/2008</t>
  </si>
  <si>
    <t>28/01/2008</t>
  </si>
  <si>
    <t>Trần Thị Thu</t>
  </si>
  <si>
    <t>Phan Thị Hương</t>
  </si>
  <si>
    <t>Trần Thị Hương</t>
  </si>
  <si>
    <t>Nhàn</t>
  </si>
  <si>
    <t>Đoàn Công</t>
  </si>
  <si>
    <t>NH 3/8</t>
  </si>
  <si>
    <t>A1 sang</t>
  </si>
  <si>
    <t>NGÀNH ĐIỀU DƯỠNG - LỚP ĐD18A4</t>
  </si>
  <si>
    <t>0368198442</t>
  </si>
  <si>
    <t>0934839863</t>
  </si>
  <si>
    <t>A3 sang</t>
  </si>
  <si>
    <t>Hồ Đình Anh</t>
  </si>
  <si>
    <t>Huỳnh Bá Thành</t>
  </si>
  <si>
    <t>nhập học 4/8</t>
  </si>
  <si>
    <t>Tôn Long Dương</t>
  </si>
  <si>
    <t>Phạm Hoàng</t>
  </si>
  <si>
    <t>27/07/2008</t>
  </si>
  <si>
    <t>27/09/208</t>
  </si>
  <si>
    <t>07/09/2008</t>
  </si>
  <si>
    <t>Đinh Hoàng</t>
  </si>
  <si>
    <t>Nghiệp</t>
  </si>
  <si>
    <t>Nguyễn Thị Yến</t>
  </si>
  <si>
    <t>Lê Nguyễn Thảo</t>
  </si>
  <si>
    <t>NH 4/8</t>
  </si>
  <si>
    <t>15/12/2008</t>
  </si>
  <si>
    <t>19/06/2007</t>
  </si>
  <si>
    <t>HOÀ XUÂN</t>
  </si>
  <si>
    <t>0905590422</t>
  </si>
  <si>
    <t>0762727108</t>
  </si>
  <si>
    <t>TỪ A5</t>
  </si>
  <si>
    <t>Hồ Nguyễn Anh</t>
  </si>
  <si>
    <t>Mai Đặng Thu</t>
  </si>
  <si>
    <t>từ A1</t>
  </si>
  <si>
    <t>Ngày nhập học</t>
  </si>
  <si>
    <t>0905457571</t>
  </si>
  <si>
    <t>0335890480</t>
  </si>
  <si>
    <t>0345539200</t>
  </si>
  <si>
    <t>0989406543</t>
  </si>
  <si>
    <t>0353362534</t>
  </si>
  <si>
    <t>CHIÊN ĐÀN</t>
  </si>
  <si>
    <t>0335556728</t>
  </si>
  <si>
    <t>HOÀ KHÁNH</t>
  </si>
  <si>
    <t>0782547218</t>
  </si>
  <si>
    <t>TAM MỸ</t>
  </si>
  <si>
    <t>0346621008</t>
  </si>
  <si>
    <t>0359295808</t>
  </si>
  <si>
    <t>0793530072</t>
  </si>
  <si>
    <t>0967162069</t>
  </si>
  <si>
    <t>0935589015</t>
  </si>
  <si>
    <t>0973684634</t>
  </si>
  <si>
    <t>0355196609</t>
  </si>
  <si>
    <t>TRÀ MY</t>
  </si>
  <si>
    <t>0367514701</t>
  </si>
  <si>
    <t>0392224900</t>
  </si>
  <si>
    <t>0702456034</t>
  </si>
  <si>
    <t>TỪ a4</t>
  </si>
  <si>
    <t>TỪ A4</t>
  </si>
  <si>
    <t>IALY</t>
  </si>
  <si>
    <t>Cao Viết</t>
  </si>
  <si>
    <t>Đỗ Huỳnh Tuấn</t>
  </si>
  <si>
    <t>14/01/2008</t>
  </si>
  <si>
    <t>nhập học 5/8</t>
  </si>
  <si>
    <t>Trương Hồng</t>
  </si>
  <si>
    <t>Quảng</t>
  </si>
  <si>
    <t>25/09/2007</t>
  </si>
  <si>
    <t>20/03/2008</t>
  </si>
  <si>
    <t>07/08/2008</t>
  </si>
  <si>
    <t>21/09/2008</t>
  </si>
  <si>
    <t>Đào Huỳnh Thanh</t>
  </si>
  <si>
    <t>10/12/2008</t>
  </si>
  <si>
    <t>25/08/1995</t>
  </si>
  <si>
    <t>NH 5/8</t>
  </si>
  <si>
    <t>Cao Hà Thiên</t>
  </si>
  <si>
    <t>Phan Thanh</t>
  </si>
  <si>
    <t>23/02/2006</t>
  </si>
  <si>
    <t>18/12/2008</t>
  </si>
  <si>
    <t>Trần Gia</t>
  </si>
  <si>
    <t>22/07/2008</t>
  </si>
  <si>
    <t>06/08/2007</t>
  </si>
  <si>
    <t>0329805587</t>
  </si>
  <si>
    <t>0355702993</t>
  </si>
  <si>
    <t>0354144192</t>
  </si>
  <si>
    <t>PLIEKU</t>
  </si>
  <si>
    <t>0966297846</t>
  </si>
  <si>
    <t>0792486443</t>
  </si>
  <si>
    <t>0398873246</t>
  </si>
  <si>
    <t>DLIÊ YA</t>
  </si>
  <si>
    <t>0865720192</t>
  </si>
  <si>
    <t>0343305156</t>
  </si>
  <si>
    <t>0336737621</t>
  </si>
  <si>
    <t>ĐAM RÔNG 3</t>
  </si>
  <si>
    <t>0347895595</t>
  </si>
  <si>
    <t>0373173062</t>
  </si>
  <si>
    <t>0788614361</t>
  </si>
  <si>
    <t>HƯỚNG HIỆP</t>
  </si>
  <si>
    <t>0854741108</t>
  </si>
  <si>
    <t>0981314054</t>
  </si>
  <si>
    <t>0398332860</t>
  </si>
  <si>
    <t>0878698764</t>
  </si>
  <si>
    <t>0795740005</t>
  </si>
  <si>
    <t>0973032459</t>
  </si>
  <si>
    <t>0384137727</t>
  </si>
  <si>
    <t>ĐĂK TÔ</t>
  </si>
  <si>
    <t>0346761228</t>
  </si>
  <si>
    <t>0847967697</t>
  </si>
  <si>
    <t>0818338317</t>
  </si>
  <si>
    <t>VŨ QUANG</t>
  </si>
  <si>
    <t>0354043376</t>
  </si>
  <si>
    <t>MINH HOÁ</t>
  </si>
  <si>
    <t>0356630170</t>
  </si>
  <si>
    <t>0358742153</t>
  </si>
  <si>
    <t>0336968708</t>
  </si>
  <si>
    <t>0357351552</t>
  </si>
  <si>
    <t>0349236924</t>
  </si>
  <si>
    <t>0384724504</t>
  </si>
  <si>
    <t>0905082934</t>
  </si>
  <si>
    <t>0362065760</t>
  </si>
  <si>
    <t>HOÀ TIẾN</t>
  </si>
  <si>
    <t>0918557387</t>
  </si>
  <si>
    <t>0852520345</t>
  </si>
  <si>
    <t>NGÀNH  TIẾNG ANH           - LỚP ANC2A</t>
  </si>
  <si>
    <t>NGÀNH  TIẾNG NHẬT                - LỚP: NNC2A</t>
  </si>
  <si>
    <t>Hà Bình</t>
  </si>
  <si>
    <t>NH 6/8</t>
  </si>
  <si>
    <t>nhập học 6/8</t>
  </si>
  <si>
    <t>Nguyễn Hữu</t>
  </si>
  <si>
    <t>Bùi Dương Nhất</t>
  </si>
  <si>
    <t>Hồ Lê Xuân</t>
  </si>
  <si>
    <t>Vũ Đình</t>
  </si>
  <si>
    <t>Lê Đoàn Anh</t>
  </si>
  <si>
    <t>Lê Viết</t>
  </si>
  <si>
    <t>05/03/2008</t>
  </si>
  <si>
    <t>30/06/2008</t>
  </si>
  <si>
    <t>Hồ Thị Thu</t>
  </si>
  <si>
    <t>Lê Hoàng Phương</t>
  </si>
  <si>
    <t>0975299357</t>
  </si>
  <si>
    <t>0766749839</t>
  </si>
  <si>
    <t>0775438462</t>
  </si>
  <si>
    <t>HÒA AN</t>
  </si>
  <si>
    <t>0905886978</t>
  </si>
  <si>
    <t>0702467289</t>
  </si>
  <si>
    <t>CAM LỘ</t>
  </si>
  <si>
    <t>0369784874</t>
  </si>
  <si>
    <t>0333631607</t>
  </si>
  <si>
    <t>0394270947</t>
  </si>
  <si>
    <t>0963156481</t>
  </si>
  <si>
    <t>0764644156</t>
  </si>
  <si>
    <t>0367305822</t>
  </si>
  <si>
    <t>0383001624</t>
  </si>
  <si>
    <t>TRƯỜNG VINH</t>
  </si>
  <si>
    <t>0347104746</t>
  </si>
  <si>
    <t>LÝ SƠN</t>
  </si>
  <si>
    <t xml:space="preserve">Lê Thúy Thùy </t>
  </si>
  <si>
    <t>0933712579</t>
  </si>
  <si>
    <t>THĂNG PHÚ</t>
  </si>
  <si>
    <t>0762504397</t>
  </si>
  <si>
    <t>0974922876</t>
  </si>
  <si>
    <t>0879262221</t>
  </si>
  <si>
    <t>IA KRÊL</t>
  </si>
  <si>
    <t>0389965216</t>
  </si>
  <si>
    <t>0327742461</t>
  </si>
  <si>
    <t>Nguyễn Hoài Lê</t>
  </si>
  <si>
    <t>Hoàng Gia</t>
  </si>
  <si>
    <t>Lê Bá</t>
  </si>
  <si>
    <t>03/08/2008</t>
  </si>
  <si>
    <t>13/01/2008</t>
  </si>
  <si>
    <t>25/03/2008</t>
  </si>
  <si>
    <t>nhập học 7/8</t>
  </si>
  <si>
    <t>Nguyễn Văn Thành</t>
  </si>
  <si>
    <t>Võ</t>
  </si>
  <si>
    <t>NH 7/8</t>
  </si>
  <si>
    <t>Lê Thị Thanh</t>
  </si>
  <si>
    <t>Đỗ Thị Ngọc</t>
  </si>
  <si>
    <t>Mai Phạm Hồng</t>
  </si>
  <si>
    <t>14/04/2008</t>
  </si>
  <si>
    <t>21/03/2008</t>
  </si>
  <si>
    <t>Trương Văn</t>
  </si>
  <si>
    <t>Lưu Công Khánh</t>
  </si>
  <si>
    <t>19/12/2008</t>
  </si>
  <si>
    <t>Tiêu Văn Tình</t>
  </si>
  <si>
    <t>nhập học 8/8</t>
  </si>
  <si>
    <t>Nguyễn Tấn</t>
  </si>
  <si>
    <t>Trần Mạnh</t>
  </si>
  <si>
    <t>Châu</t>
  </si>
  <si>
    <t>Lê Tấn Phi</t>
  </si>
  <si>
    <t>NH 8/8</t>
  </si>
  <si>
    <t>TAM QUAN</t>
  </si>
  <si>
    <t>0968483214</t>
  </si>
  <si>
    <t>Tăng Võ Anh</t>
  </si>
  <si>
    <t>NGÀNH CÔNG NGHỆ KỸ THUẬT ĐIỆN ĐIỆN TỬ- LỚP CĐ19A3</t>
  </si>
  <si>
    <t>Lớp phó</t>
  </si>
  <si>
    <t>0385178464</t>
  </si>
  <si>
    <t>LỚp trường</t>
  </si>
  <si>
    <t>Bi thứ</t>
  </si>
  <si>
    <t>Lớp Trưởng</t>
  </si>
  <si>
    <t>Bí thư</t>
  </si>
  <si>
    <t>Bùi Tân</t>
  </si>
  <si>
    <t>Lớp Phó</t>
  </si>
  <si>
    <t>Bí Thư</t>
  </si>
  <si>
    <t>Đặng Thành</t>
  </si>
  <si>
    <t>Huỳnh Nhật</t>
  </si>
  <si>
    <t>Hồ Ngọc</t>
  </si>
  <si>
    <t>Võ Văn Hoàng</t>
  </si>
  <si>
    <t>29/02/2008</t>
  </si>
  <si>
    <t>10/01/2008</t>
  </si>
  <si>
    <t>24/02/2008</t>
  </si>
  <si>
    <t>08/12/2008</t>
  </si>
  <si>
    <t>NH 9 + 10/8</t>
  </si>
  <si>
    <t>Võ Ngọc</t>
  </si>
  <si>
    <t>Hiệu</t>
  </si>
  <si>
    <t>Phạm Tấn Phi</t>
  </si>
  <si>
    <t>Huỳnh Quang</t>
  </si>
  <si>
    <t>Lê Quang</t>
  </si>
  <si>
    <t>Đặng Minh</t>
  </si>
  <si>
    <t>Nguyễn Trần Bảo</t>
  </si>
  <si>
    <t>Lê Trung</t>
  </si>
  <si>
    <t>Vĩnh</t>
  </si>
  <si>
    <t>Lê Tiến</t>
  </si>
  <si>
    <t>Phạm Ngọc</t>
  </si>
  <si>
    <t>Tý</t>
  </si>
  <si>
    <t>Nguyễn Hoàng Đăng</t>
  </si>
  <si>
    <t>27/03/2007</t>
  </si>
  <si>
    <t>26/05/2008</t>
  </si>
  <si>
    <t>05/04/2008</t>
  </si>
  <si>
    <t>29/10/2008</t>
  </si>
  <si>
    <t>30/05/2008</t>
  </si>
  <si>
    <t>02/12/2008</t>
  </si>
  <si>
    <t>07/07/2008</t>
  </si>
  <si>
    <t>07/01/2008</t>
  </si>
  <si>
    <t>13/11/2006</t>
  </si>
  <si>
    <t>23/09/2008</t>
  </si>
  <si>
    <t>NGÀNH CÔNG NGHỆ KỸ THUẬT Ô TÔ - LỚP CN11A6</t>
  </si>
  <si>
    <t>Huỳnh Tuấn</t>
  </si>
  <si>
    <t>Trần Tân</t>
  </si>
  <si>
    <t>31/07/2008</t>
  </si>
  <si>
    <t>24/05/2008</t>
  </si>
  <si>
    <t>NH 9/8</t>
  </si>
  <si>
    <t>nhập học 9/8</t>
  </si>
  <si>
    <t>Nguyễn Thị Kiều</t>
  </si>
  <si>
    <t>Phạm Ly Ni</t>
  </si>
  <si>
    <t>Phan Ngọc Ái</t>
  </si>
  <si>
    <t>Nghi</t>
  </si>
  <si>
    <t>Rơ Mah H'</t>
  </si>
  <si>
    <t>Y Lệ</t>
  </si>
  <si>
    <t>Sương</t>
  </si>
  <si>
    <t>Y Nhật Lệ</t>
  </si>
  <si>
    <t>Nguyễn Thị Tuyết</t>
  </si>
  <si>
    <t>Bùi Nguyễn Hoàng</t>
  </si>
  <si>
    <t>23/10/2008</t>
  </si>
  <si>
    <t>30/08/2008</t>
  </si>
  <si>
    <t>27/06/2008</t>
  </si>
  <si>
    <t>Huỳnh Phương</t>
  </si>
  <si>
    <t>06/11/2005</t>
  </si>
  <si>
    <t>12/06/2007</t>
  </si>
  <si>
    <t>Nguyễn Bảo</t>
  </si>
  <si>
    <t>Trâm</t>
  </si>
  <si>
    <t>Lê Thị Tuyết</t>
  </si>
  <si>
    <t>Nguyễn Viết Minh</t>
  </si>
  <si>
    <t>12/05/2008</t>
  </si>
  <si>
    <t>08/11/2008</t>
  </si>
  <si>
    <t>Nguyễn Đoàn Khánh</t>
  </si>
  <si>
    <t>Nguyễn Vũ Bảo</t>
  </si>
  <si>
    <t>14/08/2008</t>
  </si>
  <si>
    <t>Từ KT12A</t>
  </si>
  <si>
    <t>Trương Hoàng</t>
  </si>
  <si>
    <t>NH 11/8</t>
  </si>
  <si>
    <t>Tiêu Viết</t>
  </si>
  <si>
    <t>Trần Đình</t>
  </si>
  <si>
    <t>Võ Văn</t>
  </si>
  <si>
    <t>Giáp</t>
  </si>
  <si>
    <t>Nguyễn Lương Thành</t>
  </si>
  <si>
    <t>Phạm Hoàng Anh</t>
  </si>
  <si>
    <t>Nguyễn Viết Anh</t>
  </si>
  <si>
    <t>24/03/2007</t>
  </si>
  <si>
    <t>05/10/2008</t>
  </si>
  <si>
    <t>17/05/2008</t>
  </si>
  <si>
    <t>01/09/2008</t>
  </si>
  <si>
    <t>19/01/2008</t>
  </si>
  <si>
    <t>03/10/2008</t>
  </si>
  <si>
    <t>Trần Văn Gia</t>
  </si>
  <si>
    <t>Khương</t>
  </si>
  <si>
    <t>Đồng Quốc</t>
  </si>
  <si>
    <t>Đặng Duy</t>
  </si>
  <si>
    <t>Lê Công</t>
  </si>
  <si>
    <t>27/12/2004</t>
  </si>
  <si>
    <t>13/05/207</t>
  </si>
  <si>
    <t>29/06/2008</t>
  </si>
  <si>
    <t>nhập học 11/8</t>
  </si>
  <si>
    <t>15/07/2008</t>
  </si>
  <si>
    <t>Đoàn Huyền</t>
  </si>
  <si>
    <t>Băng</t>
  </si>
  <si>
    <t>Phan Duy</t>
  </si>
  <si>
    <t>Từ MLDH5 sang A6</t>
  </si>
  <si>
    <t>PHÚ GIA</t>
  </si>
  <si>
    <t>0389788578</t>
  </si>
  <si>
    <t>0918780847</t>
  </si>
  <si>
    <t>0338916332</t>
  </si>
  <si>
    <t>0359272426</t>
  </si>
  <si>
    <t>0787731903</t>
  </si>
  <si>
    <t>0878920706</t>
  </si>
  <si>
    <t>0399601557</t>
  </si>
  <si>
    <t>BÌNH HIỆP</t>
  </si>
  <si>
    <t>0905501934</t>
  </si>
  <si>
    <t>0375540028</t>
  </si>
  <si>
    <t>0777594564</t>
  </si>
  <si>
    <t>Trần Thị Mỹ</t>
  </si>
  <si>
    <t>0346511254</t>
  </si>
  <si>
    <t>0766546148</t>
  </si>
  <si>
    <t>0562156983</t>
  </si>
  <si>
    <t>0945430705</t>
  </si>
  <si>
    <t>Bùi Ngọc</t>
  </si>
  <si>
    <t>Phan Quốc</t>
  </si>
  <si>
    <t>Trần Duy</t>
  </si>
  <si>
    <t>01/08/2008</t>
  </si>
  <si>
    <t>20/08/2004</t>
  </si>
  <si>
    <t>NH 12/8</t>
  </si>
  <si>
    <t>Nguyễn Trương Quỳnh</t>
  </si>
  <si>
    <t xml:space="preserve">Sùng Chi </t>
  </si>
  <si>
    <t>Ha</t>
  </si>
  <si>
    <t>Nguyễn Tuấn</t>
  </si>
  <si>
    <t>Phan Thành</t>
  </si>
  <si>
    <t>04/09/2007</t>
  </si>
  <si>
    <t>06/05/2008</t>
  </si>
  <si>
    <t>26/102008</t>
  </si>
  <si>
    <t>Phạm Đăng</t>
  </si>
  <si>
    <t>Huỳnh Thị</t>
  </si>
  <si>
    <t>Tô Hữu</t>
  </si>
  <si>
    <t>Tám</t>
  </si>
  <si>
    <t>Từ A3</t>
  </si>
  <si>
    <t xml:space="preserve">nhập học 3/9 </t>
  </si>
  <si>
    <t>từ VLTL sang</t>
  </si>
  <si>
    <t>Đoàn Văn Khánh</t>
  </si>
  <si>
    <t>Nguyễn Lê Nhật</t>
  </si>
  <si>
    <t>Công Minh</t>
  </si>
  <si>
    <t>Nguyễn Như</t>
  </si>
  <si>
    <t>Thức</t>
  </si>
  <si>
    <t>02/01/2008</t>
  </si>
  <si>
    <t>27/11/2008</t>
  </si>
  <si>
    <t>19/10/2008</t>
  </si>
  <si>
    <t>NH 13/8</t>
  </si>
  <si>
    <t>Trần Bùi Quang</t>
  </si>
  <si>
    <t>Nguyễn Khắc</t>
  </si>
  <si>
    <t>06/10/2008</t>
  </si>
  <si>
    <t>20/10/208</t>
  </si>
  <si>
    <t>Phùng Thị Như</t>
  </si>
  <si>
    <t>Đỗ Thị Dạ</t>
  </si>
  <si>
    <t>NGÀNH CÔNG NGHỆ KỸ THUẬT ĐIỆN ĐIỆN TỬ- LỚP CĐ19A4</t>
  </si>
  <si>
    <t>Văn Đình</t>
  </si>
  <si>
    <t xml:space="preserve">Lê Nguyễn Anh </t>
  </si>
  <si>
    <t>Huỳnh Thị Khánh</t>
  </si>
  <si>
    <t>06/07/2008</t>
  </si>
  <si>
    <t>Võ Giăng</t>
  </si>
  <si>
    <t>Bôn</t>
  </si>
  <si>
    <t>Nguyễn Văn Quốc</t>
  </si>
  <si>
    <t>Bùi Quang</t>
  </si>
  <si>
    <t>Phạm Ánh</t>
  </si>
  <si>
    <t>29/04/2006</t>
  </si>
  <si>
    <t>07/12/2005</t>
  </si>
  <si>
    <t>NH 14/8</t>
  </si>
  <si>
    <t>Dương Đức</t>
  </si>
  <si>
    <t>từ ĐD18A1 qua</t>
  </si>
  <si>
    <t>14/06/2008</t>
  </si>
  <si>
    <t>24/08/2007</t>
  </si>
  <si>
    <t>18/03/2008</t>
  </si>
  <si>
    <t>NGÀNH CÔNG NGHỆ KỸ THUẬT Ô TÔ - LỚP CN11A7</t>
  </si>
  <si>
    <t>Trần Hoàng Minh</t>
  </si>
  <si>
    <t>Trần Triệu Quốc</t>
  </si>
  <si>
    <t>Rơ Châm</t>
  </si>
  <si>
    <t>Tuệ</t>
  </si>
  <si>
    <t>29/11/2008</t>
  </si>
  <si>
    <t>27/12/2008</t>
  </si>
  <si>
    <t>10/10/2008</t>
  </si>
  <si>
    <t>28/05/2008</t>
  </si>
  <si>
    <t>11/07/2008</t>
  </si>
  <si>
    <t>06/06/2008</t>
  </si>
  <si>
    <t>Phạm Đình</t>
  </si>
  <si>
    <t>Phạm</t>
  </si>
  <si>
    <t>Trương Gia</t>
  </si>
  <si>
    <t>Nguyễn Hữu Hoàng</t>
  </si>
  <si>
    <t>Phạm Nguyễn Vũ</t>
  </si>
  <si>
    <t>Hoàng Ngọc</t>
  </si>
  <si>
    <t>24/10/2008</t>
  </si>
  <si>
    <t>Lê Thị Như</t>
  </si>
  <si>
    <t>Mơ</t>
  </si>
  <si>
    <t>Nguyễn Long Đại</t>
  </si>
  <si>
    <t>10/07/2008</t>
  </si>
  <si>
    <t>16/07/2008</t>
  </si>
  <si>
    <t>08/08/2008</t>
  </si>
  <si>
    <t>04/09/2008</t>
  </si>
  <si>
    <t>Y Thiêng</t>
  </si>
  <si>
    <t>Nguyễn Thị Hoàng</t>
  </si>
  <si>
    <t>Đinh Thị Trần</t>
  </si>
  <si>
    <t>Lựu</t>
  </si>
  <si>
    <t>Võ Thị Cẩm</t>
  </si>
  <si>
    <t>Đinh Thị Thùy</t>
  </si>
  <si>
    <t>Phạm Phương</t>
  </si>
  <si>
    <t>Phan Thúy</t>
  </si>
  <si>
    <t>Nga</t>
  </si>
  <si>
    <t xml:space="preserve">Thủy Diệu Huyền </t>
  </si>
  <si>
    <t>08/10/2006</t>
  </si>
  <si>
    <t>17/12/2008</t>
  </si>
  <si>
    <t>04/07/2008</t>
  </si>
  <si>
    <t>12/07/2008</t>
  </si>
  <si>
    <t>20/08/2008</t>
  </si>
  <si>
    <t>Ngô Hoàng Tuấn</t>
  </si>
  <si>
    <t>17/11/2007</t>
  </si>
  <si>
    <t>Trần Lê Kim</t>
  </si>
  <si>
    <t>Thoại</t>
  </si>
  <si>
    <t>19/02/2008</t>
  </si>
  <si>
    <t>Lê Thành</t>
  </si>
  <si>
    <t>Lê Thị Hồng</t>
  </si>
  <si>
    <t>Thượng Thị Vi</t>
  </si>
  <si>
    <t>Xoa</t>
  </si>
  <si>
    <t>05/11/2007</t>
  </si>
  <si>
    <t>11/03/2007</t>
  </si>
  <si>
    <t>13/10/2008</t>
  </si>
  <si>
    <t>Nguyễn Trường</t>
  </si>
  <si>
    <t>Thọ</t>
  </si>
  <si>
    <t>Võ Thanh</t>
  </si>
  <si>
    <t>Huỳnh Quốc</t>
  </si>
  <si>
    <t>10/08/2008</t>
  </si>
  <si>
    <t>NH 15/8</t>
  </si>
  <si>
    <t>Nguyễn Mậu</t>
  </si>
  <si>
    <t>Đinh Tiên</t>
  </si>
  <si>
    <t>Nguyễn Đăng</t>
  </si>
  <si>
    <t>28/10/2008</t>
  </si>
  <si>
    <t>Đinh Nguyễn Hoài</t>
  </si>
  <si>
    <t>Nguyễn Thị Phước</t>
  </si>
  <si>
    <t>Điền</t>
  </si>
  <si>
    <t>Phạm Thị Thùy</t>
  </si>
  <si>
    <t>Trương Thị Anh</t>
  </si>
  <si>
    <t>09/03/2008</t>
  </si>
  <si>
    <t>Phan Nguyễn Gia</t>
  </si>
  <si>
    <t>Huỳnh Ngọc Kim</t>
  </si>
  <si>
    <t>26/07/2007</t>
  </si>
  <si>
    <t>22/08/2008</t>
  </si>
  <si>
    <t>19/08/2008</t>
  </si>
  <si>
    <t>0375541708</t>
  </si>
  <si>
    <t xml:space="preserve">0398642231 </t>
  </si>
  <si>
    <t>LỚP TRƯỞNG NH 6/8</t>
  </si>
  <si>
    <t>LỚP PHÓ từ LGT1 sang</t>
  </si>
  <si>
    <t>LT NH 4/8</t>
  </si>
  <si>
    <t>LP NH 3/8</t>
  </si>
  <si>
    <t>TỪ A4 SANG</t>
  </si>
  <si>
    <t>TỪ A1 SANG</t>
  </si>
  <si>
    <t>BÀU CẠN</t>
  </si>
  <si>
    <t>Phạm Thị Như</t>
  </si>
  <si>
    <t>01/10/2006</t>
  </si>
  <si>
    <t>Bùi Gia</t>
  </si>
  <si>
    <t>16/11/2008</t>
  </si>
  <si>
    <t>Lê Thị</t>
  </si>
  <si>
    <t>Phạm Thị Kiều</t>
  </si>
  <si>
    <t>Đặng Quang</t>
  </si>
  <si>
    <t>04/10/2006</t>
  </si>
  <si>
    <t>Định</t>
  </si>
  <si>
    <t>Trương Công</t>
  </si>
  <si>
    <t>Viễn</t>
  </si>
  <si>
    <t>Mạc Chí</t>
  </si>
  <si>
    <t>Tân</t>
  </si>
  <si>
    <t>11/06/2008</t>
  </si>
  <si>
    <t>27/05/2008</t>
  </si>
  <si>
    <t>Lê Đình</t>
  </si>
  <si>
    <t>Lê Hoàng Đức</t>
  </si>
  <si>
    <t>Ngô Gia</t>
  </si>
  <si>
    <t>Trần Lê Thanh</t>
  </si>
  <si>
    <t>Đinh Nguyễn Anh</t>
  </si>
  <si>
    <t>Lê Thế</t>
  </si>
  <si>
    <t>Phạm Mai Tuấn</t>
  </si>
  <si>
    <t>30/04/2005</t>
  </si>
  <si>
    <t>12/06/2008</t>
  </si>
  <si>
    <t>09/10/2008</t>
  </si>
  <si>
    <t>29/03/2008</t>
  </si>
  <si>
    <t>10/05/2008</t>
  </si>
  <si>
    <t>12/04/2008</t>
  </si>
  <si>
    <t>20/07/2008</t>
  </si>
  <si>
    <t>NH 17/8</t>
  </si>
  <si>
    <t>Thái Quang</t>
  </si>
  <si>
    <t>Lê Chỉ Duy</t>
  </si>
  <si>
    <t>18/07/2008</t>
  </si>
  <si>
    <t>01/01/2001</t>
  </si>
  <si>
    <t>Ngô Bảo</t>
  </si>
  <si>
    <t>NGÀNH ĐIỀU DƯỠNG - LỚP ĐD18A5</t>
  </si>
  <si>
    <t>Nguyễn Võ Quỳnh</t>
  </si>
  <si>
    <t>Phạm Thị Khánh</t>
  </si>
  <si>
    <t>Võ Lê Bảo</t>
  </si>
  <si>
    <t>Mai Thị Mỹ</t>
  </si>
  <si>
    <t>20/04/2008</t>
  </si>
  <si>
    <t>01/03/2008</t>
  </si>
  <si>
    <t>11/03/2008</t>
  </si>
  <si>
    <t>Tống Thân</t>
  </si>
  <si>
    <t>Tống Bùi Ngọc</t>
  </si>
  <si>
    <t>16/03/2008</t>
  </si>
  <si>
    <t>01/05/2007</t>
  </si>
  <si>
    <t>Phạm Chiến</t>
  </si>
  <si>
    <t>Nguyễn Hữu Gia</t>
  </si>
  <si>
    <t>Nguyễn Thị Huệ</t>
  </si>
  <si>
    <t>Vũ Văn</t>
  </si>
  <si>
    <t>16/10/2008</t>
  </si>
  <si>
    <t>KHÁNH CƯỜNG</t>
  </si>
  <si>
    <t>0981874114</t>
  </si>
  <si>
    <t>TỪ ĐD18A4 SANG NH 15/8</t>
  </si>
  <si>
    <t>Phạm Văn Đức</t>
  </si>
  <si>
    <t>TỪ A5 - NH 3/8</t>
  </si>
  <si>
    <t>0968750054</t>
  </si>
  <si>
    <t>VỆ GIANG</t>
  </si>
  <si>
    <t>TỪ CN11 SANG</t>
  </si>
  <si>
    <t>Lê Kế</t>
  </si>
  <si>
    <t>Trần Vương</t>
  </si>
  <si>
    <t>Hồ Duy</t>
  </si>
  <si>
    <t>NH 18/8</t>
  </si>
  <si>
    <t>12/02/2007</t>
  </si>
  <si>
    <t>24/03/2008</t>
  </si>
  <si>
    <t>22/09/2008</t>
  </si>
  <si>
    <t>02/11/2007</t>
  </si>
  <si>
    <t>xin 3/9 đi học</t>
  </si>
  <si>
    <t>Hoàng Việt</t>
  </si>
  <si>
    <t>Nguyễn Sỹ</t>
  </si>
  <si>
    <t>Bắc</t>
  </si>
  <si>
    <t>Lê Ngọc</t>
  </si>
  <si>
    <t>24/09/2008</t>
  </si>
  <si>
    <t>18/02/2008</t>
  </si>
  <si>
    <t>22/12/2008</t>
  </si>
  <si>
    <t>Nguyễn Đỗ Anh</t>
  </si>
  <si>
    <t>14/09/2008</t>
  </si>
  <si>
    <t>Trần Thảo</t>
  </si>
  <si>
    <t>18/11/2008</t>
  </si>
  <si>
    <t>18/05/2008</t>
  </si>
  <si>
    <t>Puih</t>
  </si>
  <si>
    <t>Mơn</t>
  </si>
  <si>
    <t>Hà Bảo</t>
  </si>
  <si>
    <t>07/12/2008</t>
  </si>
  <si>
    <t>Huỳnh Kim Anh</t>
  </si>
  <si>
    <t>01/05/2008</t>
  </si>
  <si>
    <t>Trương Trần Quang</t>
  </si>
  <si>
    <t>02/03/2007</t>
  </si>
  <si>
    <t>04/03/1998</t>
  </si>
  <si>
    <t>22/04/2008</t>
  </si>
  <si>
    <t>Liêm</t>
  </si>
  <si>
    <t>từ A2 SANG</t>
  </si>
  <si>
    <t>0819677649</t>
  </si>
  <si>
    <t>DRAY BHĂNG</t>
  </si>
  <si>
    <t>0823216816</t>
  </si>
  <si>
    <t>0966785403</t>
  </si>
  <si>
    <t>0774545465</t>
  </si>
  <si>
    <t>CỬA TÙNG</t>
  </si>
  <si>
    <t>0357694056</t>
  </si>
  <si>
    <t>0336356971</t>
  </si>
  <si>
    <t>PHONG ĐIỀN</t>
  </si>
  <si>
    <t>0966283243</t>
  </si>
  <si>
    <t>0969941479</t>
  </si>
  <si>
    <t>0832590829</t>
  </si>
  <si>
    <t>0868437880</t>
  </si>
  <si>
    <t>0766594208</t>
  </si>
  <si>
    <t>0935401410</t>
  </si>
  <si>
    <t>0363043684</t>
  </si>
  <si>
    <t>0345694223</t>
  </si>
  <si>
    <t>CƯ M'GAR</t>
  </si>
  <si>
    <t>0905138586</t>
  </si>
  <si>
    <t>0787715035</t>
  </si>
  <si>
    <t>0379549160</t>
  </si>
  <si>
    <t>AN HÒA</t>
  </si>
  <si>
    <t>0378859476</t>
  </si>
  <si>
    <t>0335549940</t>
  </si>
  <si>
    <t>0916082095</t>
  </si>
  <si>
    <t>0961604832</t>
  </si>
  <si>
    <t>PHÚ NINH</t>
  </si>
  <si>
    <t>0397665991</t>
  </si>
  <si>
    <t>0365187494</t>
  </si>
  <si>
    <t>0346580637</t>
  </si>
  <si>
    <t>0335537859</t>
  </si>
  <si>
    <t>0702533387</t>
  </si>
  <si>
    <t>VŨNG ÁNG</t>
  </si>
  <si>
    <t>0987483841</t>
  </si>
  <si>
    <t>0389785049</t>
  </si>
  <si>
    <t>0983118727</t>
  </si>
  <si>
    <t>0869650243</t>
  </si>
  <si>
    <t>0703134031</t>
  </si>
  <si>
    <t>0976196033</t>
  </si>
  <si>
    <t>0383862105</t>
  </si>
  <si>
    <t>0941408680</t>
  </si>
  <si>
    <t>0345985505</t>
  </si>
  <si>
    <t>0395077547</t>
  </si>
  <si>
    <t>0385794052</t>
  </si>
  <si>
    <t>VU GIA</t>
  </si>
  <si>
    <t>0934947485</t>
  </si>
  <si>
    <t>0832519847</t>
  </si>
  <si>
    <t>0796495990</t>
  </si>
  <si>
    <t>Tường</t>
  </si>
  <si>
    <t>0325498542</t>
  </si>
  <si>
    <t>0905897964</t>
  </si>
  <si>
    <t>ĐỒNG LÊ</t>
  </si>
  <si>
    <t>0763539222</t>
  </si>
  <si>
    <t>0367597181</t>
  </si>
  <si>
    <t>0787675770</t>
  </si>
  <si>
    <t>0788630904</t>
  </si>
  <si>
    <t>0398630285</t>
  </si>
  <si>
    <t>0879680182</t>
  </si>
  <si>
    <t>0349576674</t>
  </si>
  <si>
    <t>0702783835</t>
  </si>
  <si>
    <t>0967801925</t>
  </si>
  <si>
    <t>0366271906</t>
  </si>
  <si>
    <t>NINH CHÂU</t>
  </si>
  <si>
    <t>0835860387</t>
  </si>
  <si>
    <t>0847749246</t>
  </si>
  <si>
    <t>KỲ XUÂN</t>
  </si>
  <si>
    <t>0868727537</t>
  </si>
  <si>
    <t>Tình trạng hồ sơ</t>
  </si>
  <si>
    <t>ĐỦ</t>
  </si>
  <si>
    <t>BẰNG THPT, HỌC BẠ CC, SYLL</t>
  </si>
  <si>
    <t>CCCD</t>
  </si>
  <si>
    <t>SYLL</t>
  </si>
  <si>
    <t>ẢNH THẺ</t>
  </si>
  <si>
    <t>0358050944</t>
  </si>
  <si>
    <t>0382443012</t>
  </si>
  <si>
    <t>0773699216</t>
  </si>
  <si>
    <t>TRÀ CAU</t>
  </si>
  <si>
    <t>0378691349</t>
  </si>
  <si>
    <t>Bão</t>
  </si>
  <si>
    <t>CNTN PTCC</t>
  </si>
  <si>
    <t>NGÀY 
NHẬP HỌC</t>
  </si>
  <si>
    <t>TÌNH TRẠNG
 HỒ SƠ</t>
  </si>
  <si>
    <t>0352304148</t>
  </si>
  <si>
    <t>TÌNH TRẠNG HS</t>
  </si>
  <si>
    <t>KHAI SINH</t>
  </si>
  <si>
    <t>SYLL, ẢNH THẺ</t>
  </si>
  <si>
    <t>IA PNÔN</t>
  </si>
  <si>
    <t>0397394261</t>
  </si>
  <si>
    <t>0762540208</t>
  </si>
  <si>
    <t>0384222174</t>
  </si>
  <si>
    <t>KSINH, ẢNH THẺ</t>
  </si>
  <si>
    <t>LÌA</t>
  </si>
  <si>
    <t>0396530229</t>
  </si>
  <si>
    <t>HOÀI NHƠN ĐÔNG</t>
  </si>
  <si>
    <t>0334718673</t>
  </si>
  <si>
    <t>BẰNG TN</t>
  </si>
  <si>
    <t>THỌ PHONG</t>
  </si>
  <si>
    <t>0332354252</t>
  </si>
  <si>
    <t>0377679774</t>
  </si>
  <si>
    <t>0969430410</t>
  </si>
  <si>
    <t>0383082580</t>
  </si>
  <si>
    <t>0972190576</t>
  </si>
  <si>
    <t>NAM ĐÔNG</t>
  </si>
  <si>
    <t>0979624438</t>
  </si>
  <si>
    <t>BẰNG TN THPT</t>
  </si>
  <si>
    <t>KSINH, ẢNH, CCCD</t>
  </si>
  <si>
    <t>Huỳnh Nguyễn Khánh</t>
  </si>
  <si>
    <t>NH 19/8</t>
  </si>
  <si>
    <t>Tín</t>
  </si>
  <si>
    <t>Hồ Văn</t>
  </si>
  <si>
    <t>11/08/2008</t>
  </si>
  <si>
    <t>29/05/2008</t>
  </si>
  <si>
    <t>29/07/2008</t>
  </si>
  <si>
    <t>Trần Văn Nhật</t>
  </si>
  <si>
    <t xml:space="preserve">Trần Hoài </t>
  </si>
  <si>
    <t>Trần Tấn</t>
  </si>
  <si>
    <t xml:space="preserve">Quách  Đăng </t>
  </si>
  <si>
    <t>A Nguyễn Viết</t>
  </si>
  <si>
    <t>25/01/2008</t>
  </si>
  <si>
    <t>16/09/2008</t>
  </si>
  <si>
    <t>21/07/2008</t>
  </si>
  <si>
    <t>06/11/2008</t>
  </si>
  <si>
    <t>22/03/2008</t>
  </si>
  <si>
    <t>Hà Lê Bảo</t>
  </si>
  <si>
    <t>Đoàn Ngọc Ánh</t>
  </si>
  <si>
    <t>Nguyễn Hiếu</t>
  </si>
  <si>
    <t>Nguyễn Thảo</t>
  </si>
  <si>
    <t>Y Quýt</t>
  </si>
  <si>
    <t>Trà Anh</t>
  </si>
  <si>
    <t>Nguyễn Thị Ngọc</t>
  </si>
  <si>
    <t>Nguyễn Thị Huỳnh</t>
  </si>
  <si>
    <t>02/08/2008</t>
  </si>
  <si>
    <t>19/04/2008</t>
  </si>
  <si>
    <t>29/08/2006</t>
  </si>
  <si>
    <t>20/12/2008</t>
  </si>
  <si>
    <t>Hoàng Quang</t>
  </si>
  <si>
    <t>25/09/2008</t>
  </si>
  <si>
    <t>Lương Sơn</t>
  </si>
  <si>
    <t>Đỉnh</t>
  </si>
  <si>
    <t>30/07/2008</t>
  </si>
  <si>
    <t>0799343418</t>
  </si>
  <si>
    <t>0368230171</t>
  </si>
  <si>
    <t>0358648530</t>
  </si>
  <si>
    <t>0327437509</t>
  </si>
  <si>
    <t>0392322391</t>
  </si>
  <si>
    <t>0396891048</t>
  </si>
  <si>
    <t>0947533910</t>
  </si>
  <si>
    <t>IA PHÍ</t>
  </si>
  <si>
    <t>0326537549</t>
  </si>
  <si>
    <t>0708117368</t>
  </si>
  <si>
    <t>A YUN</t>
  </si>
  <si>
    <t>0354977727</t>
  </si>
  <si>
    <t>0788807444</t>
  </si>
  <si>
    <t>0819252109</t>
  </si>
  <si>
    <t>TỪ QL11 SANG</t>
  </si>
  <si>
    <t>BẰNG TN PTCC, SYLL</t>
  </si>
  <si>
    <t>BẰNG, HỌC BẠ, SYLL,</t>
  </si>
  <si>
    <t>CNTN PTCC, SYLL</t>
  </si>
  <si>
    <t>0356387098</t>
  </si>
  <si>
    <t>NGÀY NHẬP HỌC</t>
  </si>
  <si>
    <t>YA HỘI</t>
  </si>
  <si>
    <t>SYLL, CCCD, ẢNH</t>
  </si>
  <si>
    <t>HỮU LŨNG</t>
  </si>
  <si>
    <t>LẠNG SƠN</t>
  </si>
  <si>
    <t>BẰNG PTCC,SYLL</t>
  </si>
  <si>
    <t>0344576045</t>
  </si>
  <si>
    <t>0375918424</t>
  </si>
  <si>
    <t>CẨM XUYÊN</t>
  </si>
  <si>
    <t>0386133708</t>
  </si>
  <si>
    <t>0962702404</t>
  </si>
  <si>
    <t>0372961719</t>
  </si>
  <si>
    <t>0818019055</t>
  </si>
  <si>
    <t>M'DRẮK</t>
  </si>
  <si>
    <t>0818411991</t>
  </si>
  <si>
    <t>0787040574</t>
  </si>
  <si>
    <t>0343351570</t>
  </si>
  <si>
    <t>ẢNH</t>
  </si>
  <si>
    <t>0989179130</t>
  </si>
  <si>
    <t>HỌC BẠ, ẢNH</t>
  </si>
  <si>
    <t>BẰNG, HỌC BẠ, ẢNH</t>
  </si>
  <si>
    <t>KBANG</t>
  </si>
  <si>
    <t>0366039150</t>
  </si>
  <si>
    <t>0375311808</t>
  </si>
  <si>
    <t>Khỏe</t>
  </si>
  <si>
    <t>0358841852</t>
  </si>
  <si>
    <t>0972179058</t>
  </si>
  <si>
    <t>0782510105</t>
  </si>
  <si>
    <t>0869460478</t>
  </si>
  <si>
    <t>NGHĨA MAI</t>
  </si>
  <si>
    <t>0352951574</t>
  </si>
  <si>
    <t>0337222607</t>
  </si>
  <si>
    <t>0337902030</t>
  </si>
  <si>
    <t>0935054568</t>
  </si>
  <si>
    <t>TÌNH TRẠNG HỒ SƠ</t>
  </si>
  <si>
    <t>BẰNG, HỌC BẠ, KSINH, SYLL,ẢNH</t>
  </si>
  <si>
    <t>SYLL, ẢNH</t>
  </si>
  <si>
    <t>TỪ A2 QUA</t>
  </si>
  <si>
    <t>0327372047</t>
  </si>
  <si>
    <t xml:space="preserve"> </t>
  </si>
  <si>
    <t>0396211676</t>
  </si>
  <si>
    <t>HOÀI NHƠN TÂY</t>
  </si>
  <si>
    <t>0971437131</t>
  </si>
  <si>
    <t>0345692808</t>
  </si>
  <si>
    <t>0777884323</t>
  </si>
  <si>
    <t>0792438352</t>
  </si>
  <si>
    <t>KSINH</t>
  </si>
  <si>
    <t>TRIỆU CƠ</t>
  </si>
  <si>
    <t>0388639257</t>
  </si>
  <si>
    <t>IA TÔR</t>
  </si>
  <si>
    <t>0789909557</t>
  </si>
  <si>
    <t>0386786759</t>
  </si>
  <si>
    <t>0337771067</t>
  </si>
  <si>
    <t>0357137752</t>
  </si>
  <si>
    <t>0332876076</t>
  </si>
  <si>
    <t>0373267970</t>
  </si>
  <si>
    <t>0798542652</t>
  </si>
  <si>
    <t>0795764486</t>
  </si>
  <si>
    <t>GIẤY XN HOÀN THÀNH THPT</t>
  </si>
  <si>
    <t>0383877191</t>
  </si>
  <si>
    <t>0974634426</t>
  </si>
  <si>
    <t>TỪ A7 SANG NH 17/8</t>
  </si>
  <si>
    <t>Bùi Văn</t>
  </si>
  <si>
    <t>12/9/2006</t>
  </si>
  <si>
    <t>NH 20/8</t>
  </si>
  <si>
    <t xml:space="preserve">Nguyễn Nho </t>
  </si>
  <si>
    <t>Triết</t>
  </si>
  <si>
    <t>Nguyễn Trương Gia</t>
  </si>
  <si>
    <t>Đào</t>
  </si>
  <si>
    <t>Văn Viết</t>
  </si>
  <si>
    <t>08/06/2007</t>
  </si>
  <si>
    <t>17/02/2008</t>
  </si>
  <si>
    <t>03/11/2008</t>
  </si>
  <si>
    <t>Nguyễn Trần Thiên</t>
  </si>
  <si>
    <t>Nguyễn Lê Hoàng</t>
  </si>
  <si>
    <t>Châu Gia</t>
  </si>
  <si>
    <t>Lê Huỳnh</t>
  </si>
  <si>
    <t>Vũ Đức Anh</t>
  </si>
  <si>
    <t>18/8/2008</t>
  </si>
  <si>
    <t>18/01/2008</t>
  </si>
  <si>
    <t>24/08/2008</t>
  </si>
  <si>
    <t>TỪ VLTL SANG</t>
  </si>
  <si>
    <t>Huỳnh Gia</t>
  </si>
  <si>
    <t>30/03/2008</t>
  </si>
  <si>
    <t>Trần Thái</t>
  </si>
  <si>
    <t>Ngô Thị Kim</t>
  </si>
  <si>
    <t>Lê Thanh</t>
  </si>
  <si>
    <t>17/10/2008</t>
  </si>
  <si>
    <t>13/08/2008</t>
  </si>
  <si>
    <t>14/03/2008</t>
  </si>
  <si>
    <t>Đặng Trần</t>
  </si>
  <si>
    <t>10/4/2008</t>
  </si>
  <si>
    <t>06/03/2008</t>
  </si>
  <si>
    <t>Nguyễn Quỳnh</t>
  </si>
  <si>
    <t>KT đưa tên ĐD18</t>
  </si>
  <si>
    <t>KT đưa ds vào ĐD18A3</t>
  </si>
  <si>
    <t xml:space="preserve"> ĐD18</t>
  </si>
  <si>
    <t>KT đưa ds vào ĐD18A2</t>
  </si>
  <si>
    <t>TÌNH TRẠNG 
HS</t>
  </si>
  <si>
    <t>TỪ YHCT SANG</t>
  </si>
  <si>
    <t>0353372065</t>
  </si>
  <si>
    <t>0763679524</t>
  </si>
  <si>
    <t>0367134028</t>
  </si>
  <si>
    <t>BẰNG, HỌC BẠ</t>
  </si>
  <si>
    <t>0702706423</t>
  </si>
  <si>
    <t>BẰNG, HỌC BẠ,SYLL, ẢNH</t>
  </si>
  <si>
    <t>KHAI SINH, CCCD</t>
  </si>
  <si>
    <t>0399459538</t>
  </si>
  <si>
    <t>KHE SANH</t>
  </si>
  <si>
    <t>0338919684</t>
  </si>
  <si>
    <t>Phạm Đoàn Gia</t>
  </si>
  <si>
    <t>0374860284</t>
  </si>
  <si>
    <t>0878233624</t>
  </si>
  <si>
    <t>ĐĂK CẤM</t>
  </si>
  <si>
    <t>0327113093</t>
  </si>
  <si>
    <t>0346659355</t>
  </si>
  <si>
    <t>đã có KSK</t>
  </si>
  <si>
    <t>0799302936</t>
  </si>
  <si>
    <t>0702661858</t>
  </si>
  <si>
    <t>0898187547</t>
  </si>
  <si>
    <t>KSINH, CCCD</t>
  </si>
  <si>
    <t>0795717082</t>
  </si>
  <si>
    <t>0332503320</t>
  </si>
  <si>
    <t>0344840508</t>
  </si>
  <si>
    <t>0336796411</t>
  </si>
  <si>
    <t>KDANG</t>
  </si>
  <si>
    <t>0949844076</t>
  </si>
  <si>
    <t>0358679376</t>
  </si>
  <si>
    <t>0376493485</t>
  </si>
  <si>
    <t>0325409108</t>
  </si>
  <si>
    <t>0343026260</t>
  </si>
  <si>
    <t>0347460322</t>
  </si>
  <si>
    <t>0779456228</t>
  </si>
  <si>
    <t>KSINH, ẢNH</t>
  </si>
  <si>
    <t>0589628079</t>
  </si>
  <si>
    <t>0932311069</t>
  </si>
  <si>
    <t>BẰNG, HỌC BẠ, SYLL,ẢNH</t>
  </si>
  <si>
    <t>0962083536</t>
  </si>
  <si>
    <t>0327617050</t>
  </si>
  <si>
    <t>0392059507</t>
  </si>
  <si>
    <t>NAM TRẠCH</t>
  </si>
  <si>
    <t>0365791228</t>
  </si>
  <si>
    <t>ĐÔNG TRÀ BỒNG</t>
  </si>
  <si>
    <t>0336960612</t>
  </si>
  <si>
    <t>KÔNG CHRO</t>
  </si>
  <si>
    <t>0325307514</t>
  </si>
  <si>
    <t>PHÙ MỸ</t>
  </si>
  <si>
    <t>0372185107</t>
  </si>
  <si>
    <t>PHÙ MỸ TÂY</t>
  </si>
  <si>
    <t>0973082754</t>
  </si>
  <si>
    <t>0931935185 (Mẹ)</t>
  </si>
  <si>
    <t>0796414736</t>
  </si>
  <si>
    <t>0852624608</t>
  </si>
  <si>
    <t>HOÀN LÃO</t>
  </si>
  <si>
    <t>0355510401</t>
  </si>
  <si>
    <t>0378305326</t>
  </si>
  <si>
    <t>0362537926</t>
  </si>
  <si>
    <t>CNTN, SYLL, ẢNH, CCCD</t>
  </si>
  <si>
    <t>ĐAK ĐOA</t>
  </si>
  <si>
    <t>0865505112</t>
  </si>
  <si>
    <t>HƯỚNG PHÙNG</t>
  </si>
  <si>
    <t>0935005694</t>
  </si>
  <si>
    <t>0384721350</t>
  </si>
  <si>
    <t>0382641657</t>
  </si>
  <si>
    <t>0767613721</t>
  </si>
  <si>
    <t>0376824325</t>
  </si>
  <si>
    <t>0949073357</t>
  </si>
  <si>
    <t>TỪ Ô TÔ CHUYỂN SANG</t>
  </si>
  <si>
    <t>ĐỦ    xin 3/9 đi học</t>
  </si>
  <si>
    <t>0799455330</t>
  </si>
  <si>
    <t>0796924257</t>
  </si>
  <si>
    <t>CNTN PTCC, SYLL, ẢNH</t>
  </si>
  <si>
    <t>0337492846</t>
  </si>
  <si>
    <t>ĐÌN CƯƠNG</t>
  </si>
  <si>
    <t>0377451017</t>
  </si>
  <si>
    <t>0779560545</t>
  </si>
  <si>
    <t>0796693233</t>
  </si>
  <si>
    <t>PHÚ BÀI</t>
  </si>
  <si>
    <t>0777400868</t>
  </si>
  <si>
    <t>0372889031</t>
  </si>
  <si>
    <t>ĐẮK HÀ</t>
  </si>
  <si>
    <t>0364055018</t>
  </si>
  <si>
    <t>BẰNG, HỌC BẠ PTCC</t>
  </si>
  <si>
    <t>0376670168</t>
  </si>
  <si>
    <t>0889379529</t>
  </si>
  <si>
    <t>0862271108</t>
  </si>
  <si>
    <t>0358414094</t>
  </si>
  <si>
    <t>0982412249</t>
  </si>
  <si>
    <t>0374878691</t>
  </si>
  <si>
    <t>NGHĨA ĐÀNG</t>
  </si>
  <si>
    <t>0965971837</t>
  </si>
  <si>
    <t>0399824797</t>
  </si>
  <si>
    <t>0862329414</t>
  </si>
  <si>
    <t>0888551208</t>
  </si>
  <si>
    <t>0935163987</t>
  </si>
  <si>
    <t>0702340894</t>
  </si>
  <si>
    <t>0935339823</t>
  </si>
  <si>
    <t>0788611324</t>
  </si>
  <si>
    <t>0877815021</t>
  </si>
  <si>
    <t>ĐĂK BLA</t>
  </si>
  <si>
    <t>0793468070</t>
  </si>
  <si>
    <t>CNTN PTCC,ẢNH</t>
  </si>
  <si>
    <t>0867867353</t>
  </si>
  <si>
    <t>QL11</t>
  </si>
  <si>
    <t>NH 20/8 'Từ A5 sang</t>
  </si>
  <si>
    <t>DLIEYA</t>
  </si>
  <si>
    <t>0384509902</t>
  </si>
  <si>
    <t>0335843855</t>
  </si>
  <si>
    <t>ĐĂK PEK</t>
  </si>
  <si>
    <t>0867636100</t>
  </si>
  <si>
    <t>0362380415</t>
  </si>
  <si>
    <t>0329259597</t>
  </si>
  <si>
    <t>TÂY THẠNH</t>
  </si>
  <si>
    <t>0903978523</t>
  </si>
  <si>
    <t>ĐAK PƠ</t>
  </si>
  <si>
    <t>0977689781</t>
  </si>
  <si>
    <t>0333986545</t>
  </si>
  <si>
    <t>0389357808</t>
  </si>
  <si>
    <t>0983602324</t>
  </si>
  <si>
    <t>0978004917</t>
  </si>
  <si>
    <t>0394136020</t>
  </si>
  <si>
    <t>0377239405</t>
  </si>
  <si>
    <t>THUẬN AN</t>
  </si>
  <si>
    <t>0797757515</t>
  </si>
  <si>
    <t>0708829516</t>
  </si>
  <si>
    <t>ĐỒNG SƠN</t>
  </si>
  <si>
    <t>0833002789</t>
  </si>
  <si>
    <t>0335426548</t>
  </si>
  <si>
    <t>TRÀ ĐỐC</t>
  </si>
  <si>
    <t>0935312232</t>
  </si>
  <si>
    <t>0708261141</t>
  </si>
  <si>
    <t>0974014449</t>
  </si>
  <si>
    <t>nhập học 5/8 TỪ A3 SANG</t>
  </si>
  <si>
    <t>NH 13/8 TỪ A4 SANG</t>
  </si>
  <si>
    <t xml:space="preserve"> ẢNH</t>
  </si>
  <si>
    <t>Bùi Lê Anh</t>
  </si>
  <si>
    <t>NH 21/8</t>
  </si>
  <si>
    <t>Lê Đức</t>
  </si>
  <si>
    <t>Lê Tự Quốc</t>
  </si>
  <si>
    <t>Trương Lâm</t>
  </si>
  <si>
    <t>Hoàng Bảo Thanh</t>
  </si>
  <si>
    <t>03/09/2008</t>
  </si>
  <si>
    <t>NH21/8</t>
  </si>
  <si>
    <t>Đỗ Bạch Song</t>
  </si>
  <si>
    <t>Châu Phương</t>
  </si>
  <si>
    <t>17/7/2008</t>
  </si>
  <si>
    <t>Nguyễn Thụy Kiều</t>
  </si>
  <si>
    <t>Siu Di</t>
  </si>
  <si>
    <t>Võ Thị Thanh</t>
  </si>
  <si>
    <t>02/04/2008</t>
  </si>
  <si>
    <t>Phạm Hưng</t>
  </si>
  <si>
    <t>Phan Tấn</t>
  </si>
  <si>
    <t>Hảo</t>
  </si>
  <si>
    <t>20/06/2007</t>
  </si>
  <si>
    <t>Trần Nguyễn Bảo</t>
  </si>
  <si>
    <t>Hồ Tuấn</t>
  </si>
  <si>
    <t>Nguyễn Lê Gia</t>
  </si>
  <si>
    <t>Hào</t>
  </si>
  <si>
    <t>06/12/2008</t>
  </si>
  <si>
    <t>TỪ YC4 SANG 22/8</t>
  </si>
  <si>
    <t>Văn</t>
  </si>
  <si>
    <t>07/11/2008</t>
  </si>
  <si>
    <t>NH 22/8</t>
  </si>
  <si>
    <t>Phan Viết</t>
  </si>
  <si>
    <t>A</t>
  </si>
  <si>
    <t>Phis</t>
  </si>
  <si>
    <t>Trần Ngọc Minh</t>
  </si>
  <si>
    <t>Hoàn</t>
  </si>
  <si>
    <t>Trương Lê Hoàng</t>
  </si>
  <si>
    <t>10/11/2008</t>
  </si>
  <si>
    <t>08/01/2008</t>
  </si>
  <si>
    <t>Lê Thị Hoài</t>
  </si>
  <si>
    <t>17/01/2007</t>
  </si>
  <si>
    <t>Nông Thị Hà</t>
  </si>
  <si>
    <t>03/06/2008</t>
  </si>
  <si>
    <t>2/7/2008</t>
  </si>
  <si>
    <t>NGÀNH DƯỢC - LỚP DC15A1</t>
  </si>
  <si>
    <t>NGÀNH DƯỢC - LỚP DC15A2</t>
  </si>
  <si>
    <t>0856416246</t>
  </si>
  <si>
    <t>0795777982</t>
  </si>
  <si>
    <t>0859102409</t>
  </si>
  <si>
    <t>0819401456</t>
  </si>
  <si>
    <t>0708725802</t>
  </si>
  <si>
    <t>0779577483</t>
  </si>
  <si>
    <t>0795719190</t>
  </si>
  <si>
    <t>0766717572</t>
  </si>
  <si>
    <t>0779466065</t>
  </si>
  <si>
    <t>NỘP BẰNG TC</t>
  </si>
  <si>
    <t>CỬA VIỆT</t>
  </si>
  <si>
    <t>0869685020</t>
  </si>
  <si>
    <t>CƯ PUI</t>
  </si>
  <si>
    <t>0947524679</t>
  </si>
  <si>
    <t>0782581707</t>
  </si>
  <si>
    <t>0859168369</t>
  </si>
  <si>
    <t>0905856009</t>
  </si>
  <si>
    <t>0375233816</t>
  </si>
  <si>
    <t>0785475289</t>
  </si>
  <si>
    <t>0356448521</t>
  </si>
  <si>
    <t>EA PHÊ</t>
  </si>
  <si>
    <t>0935837490</t>
  </si>
  <si>
    <t>0966587518</t>
  </si>
  <si>
    <t>0337631163</t>
  </si>
  <si>
    <t>0819395018</t>
  </si>
  <si>
    <t>0363441859</t>
  </si>
  <si>
    <t>THÁI HÒA</t>
  </si>
  <si>
    <t>0963469040</t>
  </si>
  <si>
    <t>HỌC BẠ</t>
  </si>
  <si>
    <t>ĐÃ CÓ KSK</t>
  </si>
  <si>
    <t>0852948575</t>
  </si>
  <si>
    <t>HSO ĐKY MÁY LẠNH</t>
  </si>
  <si>
    <t>0935539761</t>
  </si>
  <si>
    <t>0398321450</t>
  </si>
  <si>
    <t>HỆ 2.3 CHƯA TN THPT</t>
  </si>
  <si>
    <t>0869661608</t>
  </si>
  <si>
    <t>NGÀNH KỸ THUẬT VẬT LÝ TRỊ LIỆU &amp; PHCN - LỚP VLTL2A2</t>
  </si>
  <si>
    <t>NGÀNH KỸ THUẬT VẬT LÝ TRỊ LIỆU &amp; PHCN - LỚP VLTL2A1</t>
  </si>
  <si>
    <t>TÌNH TRẠNG 
HỒ SƠ</t>
  </si>
  <si>
    <t>0932556295</t>
  </si>
  <si>
    <t>CNTN, KSINH</t>
  </si>
  <si>
    <t>PHÚ MỠ</t>
  </si>
  <si>
    <t>0342147612</t>
  </si>
  <si>
    <t>0766717622</t>
  </si>
  <si>
    <t>0787605484</t>
  </si>
  <si>
    <t>BẰNG, KSINH, SYLL</t>
  </si>
  <si>
    <t>0905167220</t>
  </si>
  <si>
    <t>0386114445</t>
  </si>
  <si>
    <t>0766779852</t>
  </si>
  <si>
    <t>CNTN, HỌC BẠ, SYLL</t>
  </si>
  <si>
    <t>CƯ BAO</t>
  </si>
  <si>
    <t>0824774199</t>
  </si>
  <si>
    <t>BẰNG, KSINH, ẢNH</t>
  </si>
  <si>
    <t>0702698287</t>
  </si>
  <si>
    <t>0368934089</t>
  </si>
  <si>
    <t>0942934753</t>
  </si>
  <si>
    <t>0396408608</t>
  </si>
  <si>
    <t>0839455547</t>
  </si>
  <si>
    <t>0923342968</t>
  </si>
  <si>
    <t>KSINH, SYLL</t>
  </si>
  <si>
    <t>0338575466</t>
  </si>
  <si>
    <t>0356850752</t>
  </si>
  <si>
    <t>0934876208</t>
  </si>
  <si>
    <t xml:space="preserve">ẢNH </t>
  </si>
  <si>
    <t>KHÁNH HÒA</t>
  </si>
  <si>
    <t>BẮC NHA TRANG</t>
  </si>
  <si>
    <t>0975770104</t>
  </si>
  <si>
    <t>NH 24/8</t>
  </si>
  <si>
    <t>Hoàng Trung</t>
  </si>
  <si>
    <t>10/04/2008</t>
  </si>
  <si>
    <t>Dương Lê Ngọc</t>
  </si>
  <si>
    <t>Thông</t>
  </si>
  <si>
    <t>13/01/2007</t>
  </si>
  <si>
    <t>Nguyễn Thế</t>
  </si>
  <si>
    <t>Hiển</t>
  </si>
  <si>
    <t>14/12/2008</t>
  </si>
  <si>
    <t>06/04/208</t>
  </si>
  <si>
    <t>Ngô Nhật</t>
  </si>
  <si>
    <t>30/01/2007</t>
  </si>
  <si>
    <t>Võ Lê Anh</t>
  </si>
  <si>
    <t>Trần Cao</t>
  </si>
  <si>
    <t>22/06/2008</t>
  </si>
  <si>
    <t>Vũ Anh</t>
  </si>
  <si>
    <t>Phan Anh</t>
  </si>
  <si>
    <t>Nguyễn Trần Ly</t>
  </si>
  <si>
    <t>15/11/2008</t>
  </si>
  <si>
    <t>Nguyễn Trọng Minh</t>
  </si>
  <si>
    <t>Trần Thị Thanh</t>
  </si>
  <si>
    <t>Vi Thị Thái Thùy</t>
  </si>
  <si>
    <t>Phan Ngọc Anh</t>
  </si>
  <si>
    <t>03/03/2008</t>
  </si>
  <si>
    <t>Phạm Phước Quang</t>
  </si>
  <si>
    <t>Ry</t>
  </si>
  <si>
    <t>28/06/2008</t>
  </si>
  <si>
    <t>Võ Thị Thu</t>
  </si>
  <si>
    <t>Hà Thúc</t>
  </si>
  <si>
    <t>Nguyễn Phạm Duy</t>
  </si>
  <si>
    <t>20/8/2008</t>
  </si>
  <si>
    <t>07/03/2008</t>
  </si>
  <si>
    <t>Ngô Văn</t>
  </si>
  <si>
    <t>Thạch</t>
  </si>
  <si>
    <t>TÌNH TRẠNG
HS</t>
  </si>
  <si>
    <t>0336815085</t>
  </si>
  <si>
    <t>0396375521</t>
  </si>
  <si>
    <t>0849371568</t>
  </si>
  <si>
    <t>0763661841</t>
  </si>
  <si>
    <t>0367675250</t>
  </si>
  <si>
    <t>0379083831</t>
  </si>
  <si>
    <t>0936299766 MẸ</t>
  </si>
  <si>
    <t>0363710070</t>
  </si>
  <si>
    <t>CÓ KSK</t>
  </si>
  <si>
    <t>0386020221</t>
  </si>
  <si>
    <t>0347396482</t>
  </si>
  <si>
    <t>0862406119</t>
  </si>
  <si>
    <t>NH 17/8 ĐÃ CÓ KSK</t>
  </si>
  <si>
    <t>0333568276</t>
  </si>
  <si>
    <t>0768576657</t>
  </si>
  <si>
    <t>0849403557</t>
  </si>
  <si>
    <t>0929195333</t>
  </si>
  <si>
    <t>IA HRUNG</t>
  </si>
  <si>
    <t>0329008722</t>
  </si>
  <si>
    <t>0866333036</t>
  </si>
  <si>
    <t>0343984174</t>
  </si>
  <si>
    <t>Ô LOAN</t>
  </si>
  <si>
    <t>0362394286</t>
  </si>
  <si>
    <t>0373540846</t>
  </si>
  <si>
    <t>TỪ A7 SANG</t>
  </si>
  <si>
    <t>0984255159</t>
  </si>
  <si>
    <t>0934585465</t>
  </si>
  <si>
    <t>0917856458</t>
  </si>
  <si>
    <t>0796462947</t>
  </si>
  <si>
    <t>PHONG PHÚ</t>
  </si>
  <si>
    <t>0388206181</t>
  </si>
  <si>
    <t>0344717716</t>
  </si>
  <si>
    <t>EA Ô</t>
  </si>
  <si>
    <t>0702352679</t>
  </si>
  <si>
    <t>0378795127</t>
  </si>
  <si>
    <t>0356819409</t>
  </si>
  <si>
    <t>0368543953</t>
  </si>
  <si>
    <t>0933534703</t>
  </si>
  <si>
    <t>0877939097</t>
  </si>
  <si>
    <t>0345928007</t>
  </si>
  <si>
    <t>0702579030</t>
  </si>
  <si>
    <t>0374714207</t>
  </si>
  <si>
    <t>0394814972</t>
  </si>
  <si>
    <t>0931954960</t>
  </si>
  <si>
    <t>0373407995</t>
  </si>
  <si>
    <t>AN NHƠN</t>
  </si>
  <si>
    <t>0387250050</t>
  </si>
  <si>
    <t>0339582241</t>
  </si>
  <si>
    <t>0793181548</t>
  </si>
  <si>
    <t>0945308023</t>
  </si>
  <si>
    <t>0866955390</t>
  </si>
  <si>
    <t>ĐĂK MÔN</t>
  </si>
  <si>
    <t>0762102735</t>
  </si>
  <si>
    <t>0325911317</t>
  </si>
  <si>
    <t>Từ A4 sang NH 7/8</t>
  </si>
  <si>
    <t>0972984458</t>
  </si>
  <si>
    <t>0708749175</t>
  </si>
  <si>
    <t>0972812531</t>
  </si>
  <si>
    <t>0358992103</t>
  </si>
  <si>
    <t>GÀO</t>
  </si>
  <si>
    <t>0869792301</t>
  </si>
  <si>
    <t>K DANG</t>
  </si>
  <si>
    <t>0336214160</t>
  </si>
  <si>
    <t>0948975023</t>
  </si>
  <si>
    <t>PHÙ MỸ BẮC</t>
  </si>
  <si>
    <t>0855140908</t>
  </si>
  <si>
    <t>0828045345</t>
  </si>
  <si>
    <t>0359538666</t>
  </si>
  <si>
    <t>KỲ ANH</t>
  </si>
  <si>
    <t>0332814953</t>
  </si>
  <si>
    <t>0327397094</t>
  </si>
  <si>
    <t>0909433102</t>
  </si>
  <si>
    <t>0343320208</t>
  </si>
  <si>
    <t>0352703756</t>
  </si>
  <si>
    <t>0902825485</t>
  </si>
  <si>
    <t>0355053307</t>
  </si>
  <si>
    <t>ĐĂK RƠ WA</t>
  </si>
  <si>
    <t>0824295673</t>
  </si>
  <si>
    <t>0793702683</t>
  </si>
  <si>
    <t>từ A2 sang</t>
  </si>
  <si>
    <t>từ A5 sang</t>
  </si>
  <si>
    <t>22/04/2006</t>
  </si>
  <si>
    <t>26/09/2008</t>
  </si>
  <si>
    <t>26/12/2008</t>
  </si>
  <si>
    <t>NH 25/8</t>
  </si>
  <si>
    <t>Đinh Tiến</t>
  </si>
  <si>
    <t>Vương Trí</t>
  </si>
  <si>
    <t>Nguyễn Khắc Nhân</t>
  </si>
  <si>
    <t>Trần Nguyễn Phúc</t>
  </si>
  <si>
    <t>14/01/2006</t>
  </si>
  <si>
    <t>Nguyễn Văn Huy</t>
  </si>
  <si>
    <t>Huân</t>
  </si>
  <si>
    <t>Nguyễn Ngọc Anh</t>
  </si>
  <si>
    <t>Lê Văn Minh</t>
  </si>
  <si>
    <t>Thúy</t>
  </si>
  <si>
    <t>Cao Thị Huyền</t>
  </si>
  <si>
    <t>Lê Thị Kiều</t>
  </si>
  <si>
    <t>NH 20/8 KT đưa tên ANC2A</t>
  </si>
  <si>
    <t>A1 SANG</t>
  </si>
  <si>
    <t>từ A7 sang</t>
  </si>
  <si>
    <t>SĐT PHỤ HUYNH</t>
  </si>
  <si>
    <t>0787781435</t>
  </si>
  <si>
    <t>0794567716</t>
  </si>
  <si>
    <t>BẰNG THPT, SYLL,ẢNH</t>
  </si>
  <si>
    <t>0372673723</t>
  </si>
  <si>
    <t>0978774123</t>
  </si>
  <si>
    <t>0329621832</t>
  </si>
  <si>
    <t>0389359946</t>
  </si>
  <si>
    <t>0336150233</t>
  </si>
  <si>
    <t>0947403752</t>
  </si>
  <si>
    <t>0917177208</t>
  </si>
  <si>
    <t>TỪ VLTL2A1 SANG</t>
  </si>
  <si>
    <t>0896513685</t>
  </si>
  <si>
    <t>0905704800</t>
  </si>
  <si>
    <t>0905965303</t>
  </si>
  <si>
    <t>0342015556</t>
  </si>
  <si>
    <t>0916729310</t>
  </si>
  <si>
    <t>0964136751</t>
  </si>
  <si>
    <t>0899218659</t>
  </si>
  <si>
    <t>0905575265</t>
  </si>
  <si>
    <t>0931978452</t>
  </si>
  <si>
    <t>0935649959</t>
  </si>
  <si>
    <t>0905123155</t>
  </si>
  <si>
    <t>0395651961</t>
  </si>
  <si>
    <t>0799134464</t>
  </si>
  <si>
    <t>0764142847</t>
  </si>
  <si>
    <t>A2 SANG</t>
  </si>
  <si>
    <t>A1 SANG - ĐỦ</t>
  </si>
  <si>
    <t>Từ a1 sang</t>
  </si>
  <si>
    <t>TỪ A5 NH 18/8</t>
  </si>
  <si>
    <t>Nguyễn Huỳnh Phương</t>
  </si>
  <si>
    <t>NH 26/8</t>
  </si>
  <si>
    <t>Nguyễn Khánh</t>
  </si>
  <si>
    <t>Bnướch</t>
  </si>
  <si>
    <t>Châng</t>
  </si>
  <si>
    <t>Bùi Thị Diệu</t>
  </si>
  <si>
    <t>Nguyễn Phương Trường</t>
  </si>
  <si>
    <t>MLô</t>
  </si>
  <si>
    <t xml:space="preserve">Phạm Hữu </t>
  </si>
  <si>
    <t>0901149822</t>
  </si>
  <si>
    <t>TAM THANH</t>
  </si>
  <si>
    <t>0967575972</t>
  </si>
  <si>
    <t>0367864759</t>
  </si>
  <si>
    <t>0392125911</t>
  </si>
  <si>
    <t>BẰNG TN THPT PTCC</t>
  </si>
  <si>
    <t>0795907995</t>
  </si>
  <si>
    <t>0348293251</t>
  </si>
  <si>
    <t>0965778317</t>
  </si>
  <si>
    <t>0373572373</t>
  </si>
  <si>
    <t>0935632917</t>
  </si>
  <si>
    <t>0865432482</t>
  </si>
  <si>
    <t>0792816991</t>
  </si>
  <si>
    <t>0394882720</t>
  </si>
  <si>
    <t xml:space="preserve"> ĐỦ   NH 24/8</t>
  </si>
  <si>
    <t>0896927448</t>
  </si>
  <si>
    <t>0372471467</t>
  </si>
  <si>
    <t>0775562274</t>
  </si>
  <si>
    <t>NGỌK BAY</t>
  </si>
  <si>
    <t>0389622192</t>
  </si>
  <si>
    <t>0396019590</t>
  </si>
  <si>
    <t>0353698020</t>
  </si>
  <si>
    <t>CẨM HƯNG</t>
  </si>
  <si>
    <t>0399584810</t>
  </si>
  <si>
    <t>Từ A4</t>
  </si>
  <si>
    <t>0348054447</t>
  </si>
  <si>
    <t>23/12/2008</t>
  </si>
  <si>
    <t>NH 28/8</t>
  </si>
  <si>
    <t>Đinh Trung</t>
  </si>
  <si>
    <t>Võ Viết</t>
  </si>
  <si>
    <t>NH 27/8</t>
  </si>
  <si>
    <t>11/10/2006</t>
  </si>
  <si>
    <t>10/02/2008</t>
  </si>
  <si>
    <t>CHƯA KT HỒ SƠ</t>
  </si>
  <si>
    <t>Dương Ngọc</t>
  </si>
  <si>
    <t>Nguyễn Việt</t>
  </si>
  <si>
    <t>Phạm Lê Kiều</t>
  </si>
  <si>
    <t>14/10/2006</t>
  </si>
  <si>
    <t>17/03/2008</t>
  </si>
  <si>
    <t xml:space="preserve">Trịnh Việt </t>
  </si>
  <si>
    <t>09/01/2005</t>
  </si>
  <si>
    <t>Rah Lan H'</t>
  </si>
  <si>
    <t>Măng</t>
  </si>
  <si>
    <t>Võ Mai Thiên</t>
  </si>
  <si>
    <t>02/02/2008</t>
  </si>
  <si>
    <t>19/01/2007</t>
  </si>
  <si>
    <t>16/08/2005</t>
  </si>
  <si>
    <t>Huỳnh Song</t>
  </si>
  <si>
    <t>BẰNG, KSINH</t>
  </si>
  <si>
    <t>NH21/8 ĐỦ</t>
  </si>
  <si>
    <t>0934985516</t>
  </si>
  <si>
    <t>QUẢNG TÂN</t>
  </si>
  <si>
    <t>0345771630</t>
  </si>
  <si>
    <t>0788407147</t>
  </si>
  <si>
    <t>0866644873</t>
  </si>
  <si>
    <t>0326195967</t>
  </si>
  <si>
    <t>0393408178</t>
  </si>
  <si>
    <t>0377602089</t>
  </si>
  <si>
    <t>0332998436</t>
  </si>
  <si>
    <t>0327698642</t>
  </si>
  <si>
    <t>0399208473</t>
  </si>
  <si>
    <t>0334193073</t>
  </si>
  <si>
    <t>0903533264</t>
  </si>
  <si>
    <t>0397207827</t>
  </si>
  <si>
    <t>0708480262</t>
  </si>
  <si>
    <t>0327277108</t>
  </si>
  <si>
    <t>0796754619</t>
  </si>
  <si>
    <t>0337926100</t>
  </si>
  <si>
    <t>EA ĐRĂNG</t>
  </si>
  <si>
    <t>0946366465</t>
  </si>
  <si>
    <t>ĐAK SƠMEI</t>
  </si>
  <si>
    <t>0339474028</t>
  </si>
  <si>
    <t>0779537249</t>
  </si>
  <si>
    <t>TT HỒ SƠ</t>
  </si>
  <si>
    <t>0332699768</t>
  </si>
  <si>
    <t>0905818561</t>
  </si>
  <si>
    <t>0796771729</t>
  </si>
  <si>
    <t>0328558750</t>
  </si>
  <si>
    <t>0989040754</t>
  </si>
  <si>
    <t>IA DƠK</t>
  </si>
  <si>
    <t>0327085412</t>
  </si>
  <si>
    <t>0349927908</t>
  </si>
  <si>
    <t>LỆ NINH</t>
  </si>
  <si>
    <t>0812879200</t>
  </si>
  <si>
    <t>0889371604</t>
  </si>
  <si>
    <t>0777410566</t>
  </si>
  <si>
    <t>0793544379</t>
  </si>
  <si>
    <t>0333174852</t>
  </si>
  <si>
    <t>0905112708</t>
  </si>
  <si>
    <t>0862816478</t>
  </si>
  <si>
    <t>0789498647</t>
  </si>
  <si>
    <t>X</t>
  </si>
  <si>
    <t>0898988357</t>
  </si>
  <si>
    <t>0795569343</t>
  </si>
  <si>
    <t>IA HRÚ</t>
  </si>
  <si>
    <t>0374607008</t>
  </si>
  <si>
    <t>0708057737</t>
  </si>
  <si>
    <t>0962706481</t>
  </si>
  <si>
    <t>0826246252</t>
  </si>
  <si>
    <t>0702385074</t>
  </si>
  <si>
    <t>IA LÂU</t>
  </si>
  <si>
    <t>0961230934</t>
  </si>
  <si>
    <t>0834211309</t>
  </si>
  <si>
    <t>0793555217</t>
  </si>
  <si>
    <t>TÂN LẬP</t>
  </si>
  <si>
    <t>0822520408</t>
  </si>
  <si>
    <t>KON ĐÀO</t>
  </si>
  <si>
    <t>0326181730</t>
  </si>
  <si>
    <t>0796225243</t>
  </si>
  <si>
    <t>0343131403</t>
  </si>
  <si>
    <t>CƯ PƠNG</t>
  </si>
  <si>
    <t>0353128350</t>
  </si>
  <si>
    <t>EA KNUẾC</t>
  </si>
  <si>
    <t>0816566149</t>
  </si>
  <si>
    <t>0795502835</t>
  </si>
  <si>
    <t>0346632837</t>
  </si>
  <si>
    <t>0375839131</t>
  </si>
  <si>
    <t>0327558740</t>
  </si>
  <si>
    <t>Mai Huyền Thục</t>
  </si>
  <si>
    <t>Đệ</t>
  </si>
  <si>
    <t>Phạm Xuân</t>
  </si>
  <si>
    <t>25/11/2008</t>
  </si>
  <si>
    <t>13/02/2008</t>
  </si>
  <si>
    <t>14/07/2007</t>
  </si>
  <si>
    <t>Trần Hữu Lê</t>
  </si>
  <si>
    <t>04/04/2008</t>
  </si>
  <si>
    <t>21/01/2008</t>
  </si>
  <si>
    <t>Dư Hồ Phương</t>
  </si>
  <si>
    <t>Phạm Thị Hồng</t>
  </si>
  <si>
    <t>Nguyễn Ngọc Bảo</t>
  </si>
  <si>
    <t>28/07/2008</t>
  </si>
  <si>
    <t>29/03/2006</t>
  </si>
  <si>
    <t>CHƯA KT HS</t>
  </si>
  <si>
    <t>Lê Khánh</t>
  </si>
  <si>
    <t>20/04/2001</t>
  </si>
  <si>
    <t>Nguyễn Nam</t>
  </si>
  <si>
    <t>05/12/2005</t>
  </si>
  <si>
    <t>Hồ Anh Thanh</t>
  </si>
  <si>
    <t>từ vltl sang</t>
  </si>
  <si>
    <t>Trịnh Phan Gia</t>
  </si>
  <si>
    <t>NH 29/8</t>
  </si>
  <si>
    <t>Trương Viết</t>
  </si>
  <si>
    <t>TT HS</t>
  </si>
  <si>
    <t>BÌNH DƯƠNG</t>
  </si>
  <si>
    <t>0392671904</t>
  </si>
  <si>
    <t>0332374285</t>
  </si>
  <si>
    <t>0869522404</t>
  </si>
  <si>
    <t>SÔNG KÔN</t>
  </si>
  <si>
    <t>0397241220</t>
  </si>
  <si>
    <t>SYLL,ẢNH, CCCD</t>
  </si>
  <si>
    <t>0905833538</t>
  </si>
  <si>
    <t>0708220364</t>
  </si>
  <si>
    <t>0905464309</t>
  </si>
  <si>
    <t>0372244861</t>
  </si>
  <si>
    <t>0799343416</t>
  </si>
  <si>
    <t>TRƯỜNG GIANG</t>
  </si>
  <si>
    <t>0396659535</t>
  </si>
  <si>
    <t>0373283894</t>
  </si>
  <si>
    <t>0905608656</t>
  </si>
  <si>
    <t>TTHS</t>
  </si>
  <si>
    <t>HỌC BẠ PTCC</t>
  </si>
  <si>
    <t>KHÂM ĐỨC</t>
  </si>
  <si>
    <t>0964960028</t>
  </si>
  <si>
    <t>CẨM TRUNG</t>
  </si>
  <si>
    <t>0335782421</t>
  </si>
  <si>
    <t>0903544231</t>
  </si>
  <si>
    <t>0337436008</t>
  </si>
  <si>
    <t>0349479612</t>
  </si>
  <si>
    <t>ĐÔNG GIANG</t>
  </si>
  <si>
    <t>0366732201</t>
  </si>
  <si>
    <t>0905723169</t>
  </si>
  <si>
    <t>0787603351</t>
  </si>
  <si>
    <t>HIỆP THẠNH</t>
  </si>
  <si>
    <t>0858889079</t>
  </si>
  <si>
    <t>0775439605</t>
  </si>
  <si>
    <t>0975870014</t>
  </si>
  <si>
    <t>0961483080</t>
  </si>
  <si>
    <t>0826508557</t>
  </si>
  <si>
    <t>HƯƠNG THỦY</t>
  </si>
  <si>
    <t>0363745435</t>
  </si>
  <si>
    <t>NAM TRÀ MY</t>
  </si>
  <si>
    <t>0347530994</t>
  </si>
  <si>
    <t>ĐỦ NỘP BẰNG GỐC</t>
  </si>
  <si>
    <t>TRƯỜNG LƯU</t>
  </si>
  <si>
    <t>IA LE</t>
  </si>
  <si>
    <t>CNTN, ẢNH</t>
  </si>
  <si>
    <t>KSINH PTCC</t>
  </si>
  <si>
    <t>HỒ SƠ THIẾU TÁT CẢ</t>
  </si>
  <si>
    <t>0877241674</t>
  </si>
  <si>
    <t>0856641171</t>
  </si>
  <si>
    <t>0384563474</t>
  </si>
  <si>
    <t>0984775671</t>
  </si>
  <si>
    <t>0333294626</t>
  </si>
  <si>
    <t>0995630643</t>
  </si>
  <si>
    <t>0934865938</t>
  </si>
  <si>
    <t>0835722268</t>
  </si>
  <si>
    <t>0772378999</t>
  </si>
  <si>
    <t>0915092701</t>
  </si>
  <si>
    <t>0947806114</t>
  </si>
  <si>
    <t>0352791244</t>
  </si>
  <si>
    <t>0934902284</t>
  </si>
  <si>
    <t>0345920046</t>
  </si>
  <si>
    <t>0353756523</t>
  </si>
  <si>
    <t>0858020544</t>
  </si>
  <si>
    <t>0364710966</t>
  </si>
  <si>
    <t>LỘC HÀ</t>
  </si>
  <si>
    <t>0979873270</t>
  </si>
  <si>
    <t>0765182240</t>
  </si>
  <si>
    <t>0905282649</t>
  </si>
  <si>
    <t>0905677985</t>
  </si>
  <si>
    <t>0372121031</t>
  </si>
  <si>
    <t>0374133982</t>
  </si>
  <si>
    <t>từ CT10 sang ĐỦ</t>
  </si>
  <si>
    <t>Nguyễn Huy</t>
  </si>
  <si>
    <t>Trần Bá</t>
  </si>
  <si>
    <t>NH 3/9</t>
  </si>
  <si>
    <t>Nguyễn Kim</t>
  </si>
  <si>
    <t>Hồ Chí</t>
  </si>
  <si>
    <t>19/08/2007</t>
  </si>
  <si>
    <t>27/07/1997</t>
  </si>
  <si>
    <t xml:space="preserve">Chu Huy </t>
  </si>
  <si>
    <t>19/12/2007</t>
  </si>
  <si>
    <t xml:space="preserve">Tạ Quốc </t>
  </si>
  <si>
    <t>Phạm Đức</t>
  </si>
  <si>
    <t>Phạm Thị</t>
  </si>
  <si>
    <t>15/04/2008</t>
  </si>
  <si>
    <t>14/10/2008</t>
  </si>
  <si>
    <t xml:space="preserve">             Độc lập - Tự do - Hạnh phúc</t>
  </si>
  <si>
    <t xml:space="preserve">               Độc lập - Tự do - Hạnh phúc</t>
  </si>
  <si>
    <t>HỌC BẠ, KSINH</t>
  </si>
  <si>
    <t>0779413920</t>
  </si>
  <si>
    <t>0329341909</t>
  </si>
  <si>
    <t>HỌC BẠ, ẢNH THẺ</t>
  </si>
  <si>
    <t>Nguyễn Viết</t>
  </si>
  <si>
    <t>NH 5/9</t>
  </si>
  <si>
    <t>Hệ 2.5 năm</t>
  </si>
  <si>
    <t>Trần Võ Việt</t>
  </si>
  <si>
    <t>Nguyễn Hoa</t>
  </si>
  <si>
    <t>Lê Châu</t>
  </si>
  <si>
    <t>20/05/2008</t>
  </si>
  <si>
    <t>Hoàng Phi</t>
  </si>
  <si>
    <t>21/05/2008</t>
  </si>
  <si>
    <t>Lê Bá Quang</t>
  </si>
  <si>
    <t>05/02/2004</t>
  </si>
  <si>
    <t>Nguyễn Thị Bảo</t>
  </si>
  <si>
    <t>Trần Thị Thảo</t>
  </si>
  <si>
    <t>09/06/2008</t>
  </si>
  <si>
    <t>27/01/2007</t>
  </si>
  <si>
    <t>Nguyễn Xuân</t>
  </si>
  <si>
    <t>NH 19/8 ĐỦ</t>
  </si>
  <si>
    <t>từ CN11A4 sang</t>
  </si>
  <si>
    <t>0334208700</t>
  </si>
  <si>
    <t>THANH THỦY</t>
  </si>
  <si>
    <t>0373623482</t>
  </si>
  <si>
    <t>BẰNG TN PTCC</t>
  </si>
  <si>
    <t>0792448155</t>
  </si>
  <si>
    <t>NH 7/9</t>
  </si>
  <si>
    <t>Trương Phạm Đình</t>
  </si>
  <si>
    <t>28/03/2007</t>
  </si>
  <si>
    <t>04/11/2008</t>
  </si>
  <si>
    <t>15/07/2007</t>
  </si>
  <si>
    <t>Võ Thị Hoài</t>
  </si>
  <si>
    <t>Bữk</t>
  </si>
  <si>
    <t>Đinh Thị</t>
  </si>
  <si>
    <t>03/12/2008</t>
  </si>
  <si>
    <t>Bùi Tấn</t>
  </si>
  <si>
    <t>03/02/2007</t>
  </si>
  <si>
    <t>Huỳnh Song Thiên</t>
  </si>
  <si>
    <t>16/04/2008</t>
  </si>
  <si>
    <t>Phùng Tiến</t>
  </si>
  <si>
    <t>Trương Đình Quốc</t>
  </si>
  <si>
    <t>0868588784</t>
  </si>
  <si>
    <t>0358144106</t>
  </si>
  <si>
    <t>0389149997</t>
  </si>
  <si>
    <t>0868063834</t>
  </si>
  <si>
    <t>0931946830</t>
  </si>
  <si>
    <t>0325627398</t>
  </si>
  <si>
    <t>0912425474</t>
  </si>
  <si>
    <t>0985458445</t>
  </si>
  <si>
    <t>0798119355</t>
  </si>
  <si>
    <t>0366908007</t>
  </si>
  <si>
    <t>0376171354</t>
  </si>
  <si>
    <t>0342291397</t>
  </si>
  <si>
    <t>KÔNG BƠ LA</t>
  </si>
  <si>
    <t>0326385017</t>
  </si>
  <si>
    <t>0342617930</t>
  </si>
  <si>
    <t>NH 5/9 CÓ KSK</t>
  </si>
  <si>
    <t>0334903499</t>
  </si>
  <si>
    <t>0935513628</t>
  </si>
  <si>
    <t>QUY NHƠN TÂY</t>
  </si>
  <si>
    <t>0775428582</t>
  </si>
  <si>
    <t>0705955234</t>
  </si>
  <si>
    <t>PHÚ LỘC</t>
  </si>
  <si>
    <t>0388658642</t>
  </si>
  <si>
    <t>CƯMGAR</t>
  </si>
  <si>
    <t>0824488485</t>
  </si>
  <si>
    <t>0763834388</t>
  </si>
  <si>
    <t>0905854626</t>
  </si>
  <si>
    <t xml:space="preserve">CẨM LỆ </t>
  </si>
  <si>
    <t>0932287812</t>
  </si>
  <si>
    <t>0335888941</t>
  </si>
  <si>
    <t>0762688946</t>
  </si>
  <si>
    <t>TRUNG THUẦN</t>
  </si>
  <si>
    <t>0776259078</t>
  </si>
  <si>
    <t>0365088059</t>
  </si>
  <si>
    <t>0944165939</t>
  </si>
  <si>
    <t>MINH HÓA</t>
  </si>
  <si>
    <t>0363835484</t>
  </si>
  <si>
    <t>BẰNG, ẢNH</t>
  </si>
  <si>
    <t>0373339078</t>
  </si>
  <si>
    <t>0933842953</t>
  </si>
  <si>
    <t>0901139930</t>
  </si>
  <si>
    <t>0847895246</t>
  </si>
  <si>
    <t>0905076267</t>
  </si>
  <si>
    <t>IA CHIA</t>
  </si>
  <si>
    <t>0377349995</t>
  </si>
  <si>
    <t xml:space="preserve">NH 7/9 </t>
  </si>
  <si>
    <t>Trần Thị Ngọc</t>
  </si>
  <si>
    <t>Kpuih</t>
  </si>
  <si>
    <t>28/03/2008</t>
  </si>
  <si>
    <t>NH 8/9</t>
  </si>
  <si>
    <t xml:space="preserve">Lê Doãn </t>
  </si>
  <si>
    <t>08/07/2006</t>
  </si>
  <si>
    <t xml:space="preserve">Trần Bá </t>
  </si>
  <si>
    <t>Đào Duy</t>
  </si>
  <si>
    <t>0865698422</t>
  </si>
  <si>
    <t>0967663506</t>
  </si>
  <si>
    <t>0973435443</t>
  </si>
  <si>
    <t>0869073763</t>
  </si>
  <si>
    <t>0779493067</t>
  </si>
  <si>
    <t>0332109753</t>
  </si>
  <si>
    <t>0934954716</t>
  </si>
  <si>
    <t>0382690121</t>
  </si>
  <si>
    <t>0795690384</t>
  </si>
  <si>
    <t>ĐÔNG TRẠCH</t>
  </si>
  <si>
    <t>0973877821</t>
  </si>
  <si>
    <t>0938724678</t>
  </si>
  <si>
    <t>0347106019</t>
  </si>
  <si>
    <t>0345601041</t>
  </si>
  <si>
    <t>YA MA</t>
  </si>
  <si>
    <t>CNTN , CCCD</t>
  </si>
  <si>
    <t>0798271852</t>
  </si>
  <si>
    <t>0345668351</t>
  </si>
  <si>
    <t>tốt nghiệp TC, HỆ 2.3 thiếu CCCD</t>
  </si>
  <si>
    <t>0833268217</t>
  </si>
  <si>
    <t>0799385204</t>
  </si>
  <si>
    <t>BA ĐỘNG</t>
  </si>
  <si>
    <t>0356699639</t>
  </si>
  <si>
    <t>BẰNG THPT, BẢNG ĐIỂM TC, SYLL</t>
  </si>
  <si>
    <t>0911302637</t>
  </si>
  <si>
    <t>BẰNG TN, ẢNH THẺ</t>
  </si>
  <si>
    <t>0333922538</t>
  </si>
  <si>
    <t>0978306500</t>
  </si>
  <si>
    <t>LÀO CAI</t>
  </si>
  <si>
    <t>0382499271</t>
  </si>
  <si>
    <t>0354780650</t>
  </si>
  <si>
    <t>0385796280</t>
  </si>
  <si>
    <t>0329023308</t>
  </si>
  <si>
    <t>0336748165</t>
  </si>
  <si>
    <t>PHONG NHA</t>
  </si>
  <si>
    <t>BÌNH HƯNG HÒA</t>
  </si>
  <si>
    <t>0768452589</t>
  </si>
  <si>
    <t>0346194596</t>
  </si>
  <si>
    <t>0932440437</t>
  </si>
  <si>
    <t>26/03/2008</t>
  </si>
  <si>
    <t>NH 9/9</t>
  </si>
  <si>
    <t>Trương Tâm</t>
  </si>
  <si>
    <t>21/10/2008</t>
  </si>
  <si>
    <t>Lăng Văn</t>
  </si>
  <si>
    <t>0335413299</t>
  </si>
  <si>
    <t>0335277902</t>
  </si>
  <si>
    <t>0387063512</t>
  </si>
  <si>
    <t>0354369122</t>
  </si>
  <si>
    <t>0908854435</t>
  </si>
  <si>
    <t>0354549188</t>
  </si>
  <si>
    <t>TRIỆU PHONG</t>
  </si>
  <si>
    <t>0399553147</t>
  </si>
  <si>
    <t>0775473419</t>
  </si>
  <si>
    <t xml:space="preserve">Tăng Thượng </t>
  </si>
  <si>
    <t>0353406857</t>
  </si>
  <si>
    <t>0763414621</t>
  </si>
  <si>
    <t>0878699039</t>
  </si>
  <si>
    <t>0912671532</t>
  </si>
  <si>
    <t>BÍCH KHÊ</t>
  </si>
  <si>
    <t>0385858025</t>
  </si>
  <si>
    <t>0796681817</t>
  </si>
  <si>
    <t>NGÀY SINH</t>
  </si>
  <si>
    <t xml:space="preserve">LỚP </t>
  </si>
  <si>
    <t>CN11A1</t>
  </si>
  <si>
    <t>CN11A2</t>
  </si>
  <si>
    <t>CN11A3</t>
  </si>
  <si>
    <t>CN11A6</t>
  </si>
  <si>
    <t>CN11A7</t>
  </si>
  <si>
    <t>CĐ19A3</t>
  </si>
  <si>
    <t>CT10A</t>
  </si>
  <si>
    <t>ĐD18A4</t>
  </si>
  <si>
    <t>ĐD18A5</t>
  </si>
  <si>
    <t>DC15A1</t>
  </si>
  <si>
    <t>YC4</t>
  </si>
  <si>
    <t>YHCT1A</t>
  </si>
  <si>
    <t>QT17A</t>
  </si>
  <si>
    <t>ANC2A</t>
  </si>
  <si>
    <t>NNC2A</t>
  </si>
  <si>
    <t>Đinh</t>
  </si>
  <si>
    <t xml:space="preserve">Huy </t>
  </si>
  <si>
    <t>NH 10/9</t>
  </si>
  <si>
    <t>25/08/2008</t>
  </si>
  <si>
    <t>Vũ Ngọc Thanh</t>
  </si>
  <si>
    <t xml:space="preserve">Đặng Quốc </t>
  </si>
  <si>
    <t>Hà Danh</t>
  </si>
  <si>
    <t>ĐỨC PHÚ</t>
  </si>
  <si>
    <t>NH 9/9 CÓ KSK</t>
  </si>
  <si>
    <t>Lâm Chấn</t>
  </si>
  <si>
    <t>0789406030</t>
  </si>
  <si>
    <t>0843745996</t>
  </si>
  <si>
    <t>0339915791</t>
  </si>
  <si>
    <t>0337114507</t>
  </si>
  <si>
    <t>0788627814</t>
  </si>
  <si>
    <t>0965038441</t>
  </si>
  <si>
    <t>0333387321</t>
  </si>
  <si>
    <t>0785251160</t>
  </si>
  <si>
    <t>0375452427</t>
  </si>
  <si>
    <t>0702018198</t>
  </si>
  <si>
    <t>0365598215</t>
  </si>
  <si>
    <t>0333165023</t>
  </si>
  <si>
    <t>0392420358</t>
  </si>
  <si>
    <t>0986048000</t>
  </si>
  <si>
    <t>0347776985</t>
  </si>
  <si>
    <t>0775714302</t>
  </si>
  <si>
    <t>0898631700</t>
  </si>
  <si>
    <t>NH 11/9</t>
  </si>
  <si>
    <t>KPUIL</t>
  </si>
  <si>
    <t>nh 11/9</t>
  </si>
  <si>
    <t>Phạm Hồng</t>
  </si>
  <si>
    <t>Đỗ Khánh</t>
  </si>
  <si>
    <t>21/08/2007</t>
  </si>
  <si>
    <t>BẰNG, SYLL,CCCD</t>
  </si>
  <si>
    <t>NH 12/9</t>
  </si>
  <si>
    <t xml:space="preserve">Huỳnh Lê </t>
  </si>
  <si>
    <t>10/11/2007</t>
  </si>
  <si>
    <t>HƯƠNG XUÂN</t>
  </si>
  <si>
    <t>0852002831</t>
  </si>
  <si>
    <t>0369980877</t>
  </si>
  <si>
    <t>HỒ SƠ CHƯA CÔNG CHỨNG</t>
  </si>
  <si>
    <t>0795285456</t>
  </si>
  <si>
    <t>KHAI SINH, SYLL</t>
  </si>
  <si>
    <t>0327248043</t>
  </si>
  <si>
    <t>SƠN LONG</t>
  </si>
  <si>
    <t>0379742457</t>
  </si>
  <si>
    <t>IA ĐƠK</t>
  </si>
  <si>
    <t>0343805801</t>
  </si>
  <si>
    <t>0344247404</t>
  </si>
  <si>
    <t>0905565643</t>
  </si>
  <si>
    <t>Võ Như Hạ</t>
  </si>
  <si>
    <t>Từ QL11 sang 14/9</t>
  </si>
  <si>
    <t>Từ A2 chuyển sang ngày 14/9</t>
  </si>
  <si>
    <t>TỪ A5 SANG 14/9</t>
  </si>
  <si>
    <t>DC15A2</t>
  </si>
  <si>
    <t>NH 14/9</t>
  </si>
  <si>
    <t xml:space="preserve">Lê Văn Hoàng </t>
  </si>
  <si>
    <t>Lê Hoàng Việt</t>
  </si>
  <si>
    <t>02/01/2007</t>
  </si>
  <si>
    <t>0867026186</t>
  </si>
  <si>
    <t>0866570170</t>
  </si>
  <si>
    <t>ĐD18A1</t>
  </si>
  <si>
    <t>ĐD18A2</t>
  </si>
  <si>
    <t>ĐD18A3</t>
  </si>
  <si>
    <t>0383041337</t>
  </si>
  <si>
    <t>đã nhận lại học bạ gốc 15/9</t>
  </si>
  <si>
    <t>0352421787</t>
  </si>
  <si>
    <t>ĐỘI BANH, KHÔNG HỌC</t>
  </si>
  <si>
    <t>Phạm Lê</t>
  </si>
  <si>
    <t>Zơrâm Quốc</t>
  </si>
  <si>
    <t>24/06/2004</t>
  </si>
  <si>
    <t>28/03/2005</t>
  </si>
  <si>
    <t>02/09/2005</t>
  </si>
  <si>
    <t>NH 15/9</t>
  </si>
  <si>
    <t>0362941879</t>
  </si>
  <si>
    <t>IA NAN</t>
  </si>
  <si>
    <t>0383821591</t>
  </si>
  <si>
    <t>BẾN HIÊN</t>
  </si>
  <si>
    <t>0327599565</t>
  </si>
  <si>
    <t>0835242969</t>
  </si>
  <si>
    <t>NH 6/8 CNTN PTCC</t>
  </si>
  <si>
    <t>CNTN PTCC(đã nộp bản gốc sau xin ;lại)</t>
  </si>
  <si>
    <t>Nguyễn Lâm Khánh</t>
  </si>
  <si>
    <t>Đan</t>
  </si>
  <si>
    <t xml:space="preserve">Hà Thị Hồng </t>
  </si>
  <si>
    <t>Dy</t>
  </si>
  <si>
    <t>23/09/2007</t>
  </si>
  <si>
    <t>NH 16/9</t>
  </si>
  <si>
    <t>0337853941</t>
  </si>
  <si>
    <t>Phạm Bình</t>
  </si>
  <si>
    <t>HỆ 2.3</t>
  </si>
  <si>
    <t>Võ Hưng</t>
  </si>
  <si>
    <t>Hệ 2.3 RỚT TN</t>
  </si>
  <si>
    <t>DANH SÁCH TUYỂN SINH NĂM 2026</t>
  </si>
  <si>
    <t>LỚP</t>
  </si>
  <si>
    <t>GIỚI TÍNH</t>
  </si>
  <si>
    <t>NƠI SINH</t>
  </si>
  <si>
    <t>DÂN TỘC</t>
  </si>
  <si>
    <t>THÔNG TIN CĂN CƯỚC CÔNG DÂN</t>
  </si>
  <si>
    <t>THÔNG TIN ĐỊA CHỈ ĐỊA CHỈ</t>
  </si>
  <si>
    <t>SĐT
SINH VIÊN</t>
  </si>
  <si>
    <t>SĐT
 PHỤ
 HUYNH</t>
  </si>
  <si>
    <t>HỌ TÊN CHA</t>
  </si>
  <si>
    <t>HỌ TÊN MẸ</t>
  </si>
  <si>
    <t>SỐ CCCD</t>
  </si>
  <si>
    <t>NGÀY CẤP</t>
  </si>
  <si>
    <t>NƠI CẤP</t>
  </si>
  <si>
    <t>XÃ/PHƯỜNG</t>
  </si>
  <si>
    <t>TỈNH/TP</t>
  </si>
  <si>
    <t>ĐỊA CHỈ 
THƯỜNG TRÚ</t>
  </si>
  <si>
    <t>TRÌNH
ĐỘ</t>
  </si>
  <si>
    <t>NỮ</t>
  </si>
  <si>
    <t>THPT</t>
  </si>
  <si>
    <t>CN11A7 CHUYỂN SANG 17/9</t>
  </si>
  <si>
    <t>NH 17/9</t>
  </si>
  <si>
    <t>đoạn đầu chuyển sang lớp Điện CĐ19A4</t>
  </si>
  <si>
    <t>TẤT CẢ HỒ SƠ CHƯA CC, ẢNH THẺ</t>
  </si>
  <si>
    <t>HỌC BẠ THIẾU LỚP 12</t>
  </si>
  <si>
    <t>HỌC BẠ THIẾU LỚP 10</t>
  </si>
  <si>
    <t>ẢNH, CCCD</t>
  </si>
  <si>
    <t>0384432526</t>
  </si>
  <si>
    <t>0788262143</t>
  </si>
  <si>
    <t>0332268441</t>
  </si>
  <si>
    <t>CNTNTT</t>
  </si>
  <si>
    <t>ĐỦ 10/8 đi học</t>
  </si>
  <si>
    <t>TỪ A7 SANG NH 15/8</t>
  </si>
  <si>
    <t>ĐỦ TỪ A7 SANG 10/9</t>
  </si>
  <si>
    <t>ĐỦ NH 7/8</t>
  </si>
  <si>
    <t>ĐỦ xin 20/8 đi học</t>
  </si>
  <si>
    <t>ĐỦ ĐÃ CÓ GKSK</t>
  </si>
  <si>
    <t>ĐỦ HỌC BẠ GỐC</t>
  </si>
  <si>
    <t xml:space="preserve">Đặng Quỳnh </t>
  </si>
  <si>
    <t>NH 21/9</t>
  </si>
  <si>
    <t>Phan Viết Đăng</t>
  </si>
  <si>
    <t>Hồ Bá</t>
  </si>
  <si>
    <t>19/11/2006</t>
  </si>
  <si>
    <t>20/02/2006</t>
  </si>
  <si>
    <t>0977262894</t>
  </si>
  <si>
    <t>0394600245</t>
  </si>
  <si>
    <t>Võ Sơn</t>
  </si>
  <si>
    <t>Tây</t>
  </si>
  <si>
    <t>Lưu Tiến</t>
  </si>
  <si>
    <t>10/03/2008</t>
  </si>
  <si>
    <t>25/07/2004</t>
  </si>
  <si>
    <t>0988083241</t>
  </si>
  <si>
    <t>0972907926</t>
  </si>
  <si>
    <t>Tô Đức</t>
  </si>
  <si>
    <t>Sinh</t>
  </si>
  <si>
    <t>ĐỦ Hệ 2.5 năm</t>
  </si>
  <si>
    <t>NH 23/9</t>
  </si>
  <si>
    <t>Lý Hoàng</t>
  </si>
  <si>
    <t>NH 22/9</t>
  </si>
  <si>
    <t>0336956387</t>
  </si>
  <si>
    <t>033707363</t>
  </si>
  <si>
    <t xml:space="preserve">KHAI SINH,ẢNH </t>
  </si>
  <si>
    <t>0846757112</t>
  </si>
  <si>
    <t>BẰNG TN, HỌC BẠ , SYLL</t>
  </si>
  <si>
    <t>0765471204</t>
  </si>
  <si>
    <t>BA DINH</t>
  </si>
  <si>
    <t>0383040175</t>
  </si>
  <si>
    <t>0702627169</t>
  </si>
  <si>
    <t>0352572252</t>
  </si>
  <si>
    <t>NGÀNH CÔNG NGHỆ THÔNG TIN - LỚP CT10AL</t>
  </si>
  <si>
    <t>CHƯ KREY</t>
  </si>
  <si>
    <t>Lê Tuấn</t>
  </si>
  <si>
    <t>03/02/2005</t>
  </si>
  <si>
    <t>NH 24/9</t>
  </si>
  <si>
    <t>Nghiêng</t>
  </si>
  <si>
    <t>Trần Đinh Nhật</t>
  </si>
  <si>
    <t>27/03/2008</t>
  </si>
  <si>
    <t>NH 25/9</t>
  </si>
  <si>
    <t>Nguyễn Thái Xuân</t>
  </si>
  <si>
    <t xml:space="preserve">NH 24/9 </t>
  </si>
  <si>
    <t>12/04/2006</t>
  </si>
  <si>
    <t>26/09/2000</t>
  </si>
  <si>
    <t>NGÀNH CÔNG NGHỆ THÔNG TIN - LỚP CT10AD</t>
  </si>
  <si>
    <t>0378419184</t>
  </si>
  <si>
    <t>0702333029</t>
  </si>
  <si>
    <t>0362864298</t>
  </si>
  <si>
    <t>ĐĂK LONG</t>
  </si>
  <si>
    <t>0359621427</t>
  </si>
  <si>
    <t>QUANG DIỆM</t>
  </si>
  <si>
    <t>0398850331</t>
  </si>
  <si>
    <t>0392449970</t>
  </si>
  <si>
    <t>0905470576</t>
  </si>
  <si>
    <t xml:space="preserve">Nguyễn Đức Thái </t>
  </si>
  <si>
    <t>24/01/2007</t>
  </si>
  <si>
    <t>HỆ 2.3 CHƯA TN NH 21/9</t>
  </si>
  <si>
    <t>0344495234</t>
  </si>
  <si>
    <t>CCCD, ẢNH THẺ</t>
  </si>
  <si>
    <t>0376964272</t>
  </si>
  <si>
    <t>0982030324</t>
  </si>
  <si>
    <t>0905769684</t>
  </si>
  <si>
    <t>0905554584</t>
  </si>
  <si>
    <t>SƠN MAI</t>
  </si>
  <si>
    <t>0981436058</t>
  </si>
  <si>
    <t>ĐỦ - Khóa TS 2025</t>
  </si>
  <si>
    <t>PHÙ MỸ ĐÔNG</t>
  </si>
  <si>
    <t>0837715119</t>
  </si>
  <si>
    <t>0968261592</t>
  </si>
  <si>
    <t>Phạm Quang</t>
  </si>
  <si>
    <t>NH 28/9</t>
  </si>
  <si>
    <t>0946946432</t>
  </si>
  <si>
    <t>nh 28/9</t>
  </si>
  <si>
    <t>NH 24/8 từ NNC2A sang</t>
  </si>
  <si>
    <t>BẰNG THPT, SYLL</t>
  </si>
  <si>
    <t>Nguyễn Đỗ Thiên</t>
  </si>
  <si>
    <t>Lạc</t>
  </si>
  <si>
    <t>Lê Việt</t>
  </si>
  <si>
    <t>CHƯA HS</t>
  </si>
  <si>
    <t>NH 30/9</t>
  </si>
  <si>
    <t>Bùi Thái</t>
  </si>
  <si>
    <t xml:space="preserve">CNTN PTCC, HỌC BẠ </t>
  </si>
  <si>
    <t>Alăng Thị Phương</t>
  </si>
  <si>
    <t xml:space="preserve">Ngô Công </t>
  </si>
  <si>
    <t>NH 2/10</t>
  </si>
  <si>
    <t>HỌC BẠ THIẾU LỚP 12,SYLL</t>
  </si>
  <si>
    <t>Võ Đức</t>
  </si>
  <si>
    <t>NH 3/10</t>
  </si>
  <si>
    <t>VĨNH HẢI</t>
  </si>
  <si>
    <t>0866963402</t>
  </si>
  <si>
    <t>0332365853</t>
  </si>
  <si>
    <t>0911452312</t>
  </si>
  <si>
    <t>0358268221</t>
  </si>
  <si>
    <t xml:space="preserve">Trịnh Duy </t>
  </si>
  <si>
    <t>Nguyễn Phúc</t>
  </si>
  <si>
    <t>NH 5/10</t>
  </si>
  <si>
    <t>HỆ 2.5 CHƯA TNTHPT</t>
  </si>
  <si>
    <t xml:space="preserve">Đỗ Viết </t>
  </si>
  <si>
    <t>Nguyễn Văn Thiện</t>
  </si>
  <si>
    <t>NH 6/10</t>
  </si>
  <si>
    <t xml:space="preserve">Trần Đình </t>
  </si>
  <si>
    <t>23/08/2007</t>
  </si>
  <si>
    <t>13/07/2008</t>
  </si>
  <si>
    <t>NH 8/10</t>
  </si>
  <si>
    <t>Nguyễn Lưu</t>
  </si>
  <si>
    <t>Truyền</t>
  </si>
  <si>
    <t>SYLL,ẢNH</t>
  </si>
  <si>
    <t>BẰNG THPT, SYLL, ẢNH, CCCD</t>
  </si>
  <si>
    <t>KSINH , SYLL</t>
  </si>
  <si>
    <t>HỌC BẠ, KSINH, SYLL, ẢNH, CCCD</t>
  </si>
  <si>
    <t>BẰNG, HỌC BẠ,ẢNH</t>
  </si>
  <si>
    <t>BẰNG THPT PTCC</t>
  </si>
  <si>
    <t>Cương</t>
  </si>
  <si>
    <t>HỢP MINH</t>
  </si>
  <si>
    <t>0973225471</t>
  </si>
  <si>
    <t>0345224416</t>
  </si>
  <si>
    <t>BẰNG THPT PTCC, SYLL, ẢNH</t>
  </si>
  <si>
    <t>HỌC BẠ THIẾU LỚP 12,KSINH</t>
  </si>
  <si>
    <t>KHAI SINH, ẢNH,HỌC BẠ THIẾU LỚP 12</t>
  </si>
  <si>
    <t>có KSK</t>
  </si>
  <si>
    <t>hồ sơ thiếu tất cả</t>
  </si>
  <si>
    <t>HỌC BẠ THPT</t>
  </si>
  <si>
    <t>BẰNG THPT, HỌC BẠ PTCC, SYLL,ẢNH THẺ</t>
  </si>
  <si>
    <t>CNTN PTCC, ẢNH</t>
  </si>
  <si>
    <t>SYLL, ẢNH, CCCD</t>
  </si>
  <si>
    <t>CHƯA CÓ HỒ SƠ</t>
  </si>
  <si>
    <t>CNTN PTCC, ẢNH THẺ</t>
  </si>
  <si>
    <t>ÂNHR</t>
  </si>
  <si>
    <t>HỌC BẠ THPT, KSINH,ẢNH, SYLL</t>
  </si>
  <si>
    <t>CHƯA CÓ HS</t>
  </si>
  <si>
    <t>Hứa Minh</t>
  </si>
  <si>
    <t>NH 10/10</t>
  </si>
  <si>
    <t>Trần Xuân</t>
  </si>
  <si>
    <t>Hòa</t>
  </si>
  <si>
    <t>NH 7/8 TỪ A4</t>
  </si>
  <si>
    <t>BẰNG THPT PTCC, KSINH, SYLL</t>
  </si>
  <si>
    <t xml:space="preserve">SYLL </t>
  </si>
  <si>
    <t>BẰNG THPT, SYLL,ẢNH THẺ</t>
  </si>
  <si>
    <t>HỌC  BẠ THIẾU LỚP 12</t>
  </si>
  <si>
    <t>CNTN, KSINH, HỌC BẠ THIẾU LỚP 12</t>
  </si>
  <si>
    <t>BẰNG THPT, HỌC BẠ</t>
  </si>
  <si>
    <t>HỌC BẠ,SYLL, ẢNH</t>
  </si>
  <si>
    <t>NH 12/10</t>
  </si>
  <si>
    <t>BẰNG, HỌC BẠ,SYLL,CCCD</t>
  </si>
  <si>
    <t>0384333581</t>
  </si>
  <si>
    <t>NH 13/10</t>
  </si>
  <si>
    <t>NỘP HỌC BẠ GỐC</t>
  </si>
  <si>
    <t>Trần Ngô Quang</t>
  </si>
  <si>
    <t>0932407278</t>
  </si>
  <si>
    <t>Thái Bình</t>
  </si>
  <si>
    <t>nh 13/10</t>
  </si>
  <si>
    <t>0702347717</t>
  </si>
  <si>
    <t xml:space="preserve">BẰNG, HỌC BẠ PTCC, SYLL,ẢNH </t>
  </si>
  <si>
    <t xml:space="preserve"> HỌC BẠ</t>
  </si>
  <si>
    <t>NH 14/10</t>
  </si>
  <si>
    <t>10/08/2003</t>
  </si>
  <si>
    <t>29/10/2002</t>
  </si>
  <si>
    <t>Ngô Ngọc</t>
  </si>
  <si>
    <t>Hoàng Thị</t>
  </si>
  <si>
    <t>11/04/1999</t>
  </si>
  <si>
    <t>31/01/2004</t>
  </si>
  <si>
    <t xml:space="preserve">BẰNG THPT, HỌC BẠ PTCC, ẢNH </t>
  </si>
  <si>
    <t>0932442372</t>
  </si>
  <si>
    <t>0777654520</t>
  </si>
  <si>
    <t>CHÂN MẤY-LĂNG CÔ</t>
  </si>
  <si>
    <t>0347813293</t>
  </si>
  <si>
    <t>NH 15/10</t>
  </si>
  <si>
    <t>TRƯỜNG XUÂN</t>
  </si>
  <si>
    <t>0349703496</t>
  </si>
  <si>
    <t>0396029220</t>
  </si>
  <si>
    <t>0827210720</t>
  </si>
  <si>
    <t>0903726473</t>
  </si>
  <si>
    <t>LONG KHÁNH</t>
  </si>
  <si>
    <t>ĐỒNG NAI</t>
  </si>
  <si>
    <t>SƠN TÂY</t>
  </si>
  <si>
    <t>PLIE KU</t>
  </si>
  <si>
    <t xml:space="preserve">0935885907 </t>
  </si>
  <si>
    <t>GIẤY XN HT THPT</t>
  </si>
  <si>
    <t>Dương Văn</t>
  </si>
  <si>
    <t>NH 16/10</t>
  </si>
  <si>
    <t>05/05/2003</t>
  </si>
  <si>
    <t>22/12/2005</t>
  </si>
  <si>
    <t>07/12/2007</t>
  </si>
  <si>
    <t>13/09/2007</t>
  </si>
  <si>
    <t>Võ Quốc</t>
  </si>
  <si>
    <t>BẰNG TN THPT, HỌC BẠ LỚP 10, 11</t>
  </si>
  <si>
    <t>CNTN, SYLL, CCCD</t>
  </si>
  <si>
    <t>NH 19/10</t>
  </si>
  <si>
    <t>CHƯA HỒ SƠ</t>
  </si>
  <si>
    <t>Nguyễn Mạnh</t>
  </si>
  <si>
    <t>Đỗ Giang</t>
  </si>
  <si>
    <t>NH 20/10</t>
  </si>
  <si>
    <t>Hoàng Văn</t>
  </si>
  <si>
    <t>Đình</t>
  </si>
  <si>
    <t>Nh 20/10</t>
  </si>
  <si>
    <t>Chuyển từ CT9AL sang</t>
  </si>
  <si>
    <t>HỌC BẠ CC, KSINH, SYLL</t>
  </si>
  <si>
    <t>0815683578</t>
  </si>
  <si>
    <t>0329573057</t>
  </si>
  <si>
    <t>0366302910</t>
  </si>
  <si>
    <t>0935274248</t>
  </si>
  <si>
    <t>KSINH,ẢNH</t>
  </si>
  <si>
    <t>0934946210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</si>
</sst>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scheme val="minor"/>
    </font>
    <font>
      <sz val="12"/>
      <name val="VNtimes new roman"/>
      <family val="2"/>
    </font>
    <font>
      <b/>
      <sz val="10"/>
      <name val="VNtimes new roman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VNI-Times"/>
      <family val="2"/>
    </font>
    <font>
      <sz val="10"/>
      <name val="Times New Roman"/>
      <family val="1"/>
    </font>
    <font>
      <sz val="10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2"/>
      <color rgb="FFFF0000"/>
      <name val="Times New Roman"/>
      <family val="1"/>
    </font>
    <font>
      <sz val="10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9"/>
      <name val="Calibri"/>
      <family val="2"/>
      <scheme val="minor"/>
    </font>
    <font>
      <sz val="9"/>
      <name val="VNI-Times"/>
      <family val="2"/>
    </font>
    <font>
      <sz val="10"/>
      <name val="VNI-Times"/>
      <family val="2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8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sz val="13"/>
      <name val="Times New Roman"/>
      <family val="1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63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9">
    <xf numFmtId="0" fontId="0" fillId="0" borderId="0" xfId="0"/>
    <xf numFmtId="0" fontId="4" fillId="2" borderId="0" xfId="0" applyFont="1" applyFill="1"/>
    <xf numFmtId="0" fontId="5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/>
    </xf>
    <xf numFmtId="0" fontId="10" fillId="2" borderId="0" xfId="0" applyFont="1" applyFill="1"/>
    <xf numFmtId="0" fontId="7" fillId="3" borderId="1" xfId="0" applyFont="1" applyFill="1" applyBorder="1" applyAlignment="1" applyProtection="1">
      <alignment horizontal="center" vertical="center"/>
    </xf>
    <xf numFmtId="0" fontId="7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/>
    </xf>
    <xf numFmtId="0" fontId="2" fillId="2" borderId="0" xfId="0" applyFont="1" applyFill="1"/>
    <xf numFmtId="0" fontId="11" fillId="4" borderId="1" xfId="0" applyNumberFormat="1" applyFont="1" applyFill="1" applyBorder="1" applyAlignment="1" applyProtection="1">
      <alignment horizontal="center" vertical="center" wrapText="1"/>
    </xf>
    <xf numFmtId="0" fontId="11" fillId="4" borderId="2" xfId="0" applyFont="1" applyFill="1" applyBorder="1" applyAlignment="1" applyProtection="1">
      <alignment vertical="center" wrapText="1"/>
    </xf>
    <xf numFmtId="0" fontId="11" fillId="4" borderId="3" xfId="0" applyFont="1" applyFill="1" applyBorder="1" applyAlignment="1" applyProtection="1">
      <alignment vertical="center" wrapText="1"/>
    </xf>
    <xf numFmtId="14" fontId="11" fillId="4" borderId="1" xfId="0" applyNumberFormat="1" applyFont="1" applyFill="1" applyBorder="1" applyAlignment="1" applyProtection="1">
      <alignment horizontal="center" vertical="center" wrapText="1"/>
    </xf>
    <xf numFmtId="0" fontId="2" fillId="4" borderId="1" xfId="0" applyFont="1" applyFill="1" applyBorder="1" applyAlignment="1" applyProtection="1">
      <alignment horizontal="center" vertical="center" wrapText="1"/>
    </xf>
    <xf numFmtId="0" fontId="2" fillId="4" borderId="1" xfId="0" applyFont="1" applyFill="1" applyBorder="1" applyAlignment="1" applyProtection="1">
      <alignment vertical="center" wrapText="1"/>
    </xf>
    <xf numFmtId="14" fontId="11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4" borderId="1" xfId="0" quotePrefix="1" applyFont="1" applyFill="1" applyBorder="1" applyAlignment="1" applyProtection="1">
      <alignment horizontal="center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9" fillId="4" borderId="2" xfId="0" applyFont="1" applyFill="1" applyBorder="1" applyAlignment="1" applyProtection="1">
      <alignment vertical="center" wrapText="1"/>
    </xf>
    <xf numFmtId="0" fontId="9" fillId="4" borderId="3" xfId="0" applyFont="1" applyFill="1" applyBorder="1" applyAlignment="1" applyProtection="1">
      <alignment vertical="center" wrapText="1"/>
    </xf>
    <xf numFmtId="0" fontId="9" fillId="4" borderId="4" xfId="0" applyFont="1" applyFill="1" applyBorder="1" applyAlignment="1" applyProtection="1">
      <alignment vertical="center" wrapText="1"/>
    </xf>
    <xf numFmtId="0" fontId="2" fillId="2" borderId="1" xfId="0" applyFont="1" applyFill="1" applyBorder="1"/>
    <xf numFmtId="0" fontId="4" fillId="2" borderId="1" xfId="0" applyFont="1" applyFill="1" applyBorder="1"/>
    <xf numFmtId="0" fontId="9" fillId="2" borderId="2" xfId="0" applyFont="1" applyFill="1" applyBorder="1" applyAlignment="1" applyProtection="1">
      <alignment vertical="center" wrapText="1"/>
    </xf>
    <xf numFmtId="0" fontId="9" fillId="2" borderId="3" xfId="0" applyFont="1" applyFill="1" applyBorder="1" applyAlignment="1" applyProtection="1">
      <alignment vertical="center" wrapText="1"/>
    </xf>
    <xf numFmtId="16" fontId="4" fillId="2" borderId="1" xfId="0" quotePrefix="1" applyNumberFormat="1" applyFont="1" applyFill="1" applyBorder="1"/>
    <xf numFmtId="0" fontId="11" fillId="4" borderId="1" xfId="0" applyFont="1" applyFill="1" applyBorder="1" applyAlignment="1" applyProtection="1">
      <alignment vertical="center" wrapText="1"/>
    </xf>
    <xf numFmtId="0" fontId="9" fillId="4" borderId="1" xfId="0" quotePrefix="1" applyFont="1" applyFill="1" applyBorder="1" applyAlignment="1" applyProtection="1">
      <alignment horizontal="center" vertical="center" wrapText="1"/>
    </xf>
    <xf numFmtId="14" fontId="2" fillId="4" borderId="1" xfId="0" applyNumberFormat="1" applyFont="1" applyFill="1" applyBorder="1" applyAlignment="1" applyProtection="1">
      <alignment vertical="center" wrapText="1"/>
    </xf>
    <xf numFmtId="0" fontId="2" fillId="2" borderId="0" xfId="0" quotePrefix="1" applyFont="1" applyFill="1"/>
    <xf numFmtId="0" fontId="2" fillId="5" borderId="1" xfId="0" applyFont="1" applyFill="1" applyBorder="1" applyAlignment="1" applyProtection="1">
      <alignment horizontal="center" vertical="center" wrapText="1"/>
    </xf>
    <xf numFmtId="14" fontId="2" fillId="4" borderId="1" xfId="0" applyNumberFormat="1" applyFont="1" applyFill="1" applyBorder="1" applyAlignment="1" applyProtection="1">
      <alignment horizontal="center" vertical="center" wrapText="1"/>
    </xf>
    <xf numFmtId="0" fontId="11" fillId="4" borderId="1" xfId="0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>
      <alignment horizontal="center" vertical="center" wrapText="1"/>
    </xf>
    <xf numFmtId="0" fontId="11" fillId="2" borderId="1" xfId="0" applyFont="1" applyFill="1" applyBorder="1" applyAlignment="1" applyProtection="1">
      <alignment horizontal="center" vertical="center" wrapText="1"/>
    </xf>
    <xf numFmtId="0" fontId="2" fillId="2" borderId="1" xfId="0" quotePrefix="1" applyFont="1" applyFill="1" applyBorder="1" applyAlignment="1" applyProtection="1">
      <alignment horizontal="center" vertical="center" wrapText="1"/>
    </xf>
    <xf numFmtId="16" fontId="4" fillId="2" borderId="1" xfId="0" quotePrefix="1" applyNumberFormat="1" applyFont="1" applyFill="1" applyBorder="1" applyAlignment="1">
      <alignment horizontal="center"/>
    </xf>
    <xf numFmtId="0" fontId="14" fillId="0" borderId="1" xfId="0" quotePrefix="1" applyFont="1" applyBorder="1" applyAlignment="1">
      <alignment horizontal="center" vertical="center"/>
    </xf>
    <xf numFmtId="14" fontId="14" fillId="0" borderId="1" xfId="0" quotePrefix="1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2" fillId="0" borderId="5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2" fillId="4" borderId="0" xfId="0" quotePrefix="1" applyFont="1" applyFill="1" applyBorder="1" applyAlignment="1" applyProtection="1">
      <alignment horizontal="center" vertical="center" wrapText="1"/>
    </xf>
    <xf numFmtId="0" fontId="2" fillId="2" borderId="1" xfId="0" quotePrefix="1" applyFont="1" applyFill="1" applyBorder="1"/>
    <xf numFmtId="0" fontId="10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1" fillId="4" borderId="1" xfId="0" quotePrefix="1" applyFont="1" applyFill="1" applyBorder="1" applyAlignment="1" applyProtection="1">
      <alignment horizontal="center" vertical="center" wrapText="1"/>
    </xf>
    <xf numFmtId="0" fontId="11" fillId="2" borderId="1" xfId="0" applyFont="1" applyFill="1" applyBorder="1" applyAlignment="1">
      <alignment horizontal="center"/>
    </xf>
    <xf numFmtId="0" fontId="2" fillId="7" borderId="1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/>
    <xf numFmtId="0" fontId="12" fillId="0" borderId="2" xfId="0" applyFont="1" applyBorder="1" applyAlignment="1">
      <alignment horizontal="left"/>
    </xf>
    <xf numFmtId="0" fontId="9" fillId="4" borderId="5" xfId="0" applyFont="1" applyFill="1" applyBorder="1" applyAlignment="1" applyProtection="1">
      <alignment vertical="center" wrapText="1"/>
    </xf>
    <xf numFmtId="0" fontId="9" fillId="4" borderId="6" xfId="0" applyFont="1" applyFill="1" applyBorder="1" applyAlignment="1" applyProtection="1">
      <alignment vertical="center" wrapText="1"/>
    </xf>
    <xf numFmtId="0" fontId="13" fillId="0" borderId="3" xfId="0" applyFont="1" applyBorder="1" applyAlignment="1">
      <alignment horizontal="left"/>
    </xf>
    <xf numFmtId="0" fontId="2" fillId="2" borderId="0" xfId="0" quotePrefix="1" applyFont="1" applyFill="1" applyBorder="1"/>
    <xf numFmtId="0" fontId="9" fillId="0" borderId="2" xfId="0" applyFont="1" applyFill="1" applyBorder="1" applyAlignment="1" applyProtection="1">
      <alignment vertical="center" wrapText="1"/>
    </xf>
    <xf numFmtId="0" fontId="9" fillId="0" borderId="4" xfId="0" applyFont="1" applyFill="1" applyBorder="1" applyAlignment="1" applyProtection="1">
      <alignment vertical="center" wrapText="1"/>
    </xf>
    <xf numFmtId="14" fontId="11" fillId="0" borderId="1" xfId="0" applyNumberFormat="1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 applyProtection="1">
      <alignment horizontal="center" vertical="center" wrapText="1"/>
    </xf>
    <xf numFmtId="0" fontId="2" fillId="0" borderId="1" xfId="0" quotePrefix="1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/>
    <xf numFmtId="0" fontId="2" fillId="6" borderId="0" xfId="0" applyFont="1" applyFill="1" applyBorder="1" applyAlignment="1">
      <alignment horizontal="center"/>
    </xf>
    <xf numFmtId="0" fontId="4" fillId="6" borderId="0" xfId="0" applyFont="1" applyFill="1" applyBorder="1"/>
    <xf numFmtId="0" fontId="4" fillId="2" borderId="2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9" fillId="2" borderId="1" xfId="0" quotePrefix="1" applyFont="1" applyFill="1" applyBorder="1"/>
    <xf numFmtId="0" fontId="9" fillId="0" borderId="5" xfId="0" applyFont="1" applyBorder="1" applyAlignment="1">
      <alignment horizontal="left" vertical="center"/>
    </xf>
    <xf numFmtId="0" fontId="9" fillId="4" borderId="1" xfId="0" applyFont="1" applyFill="1" applyBorder="1" applyAlignment="1" applyProtection="1">
      <alignment vertical="center" wrapText="1"/>
    </xf>
    <xf numFmtId="0" fontId="2" fillId="4" borderId="0" xfId="0" applyFont="1" applyFill="1" applyBorder="1" applyAlignment="1" applyProtection="1">
      <alignment horizontal="center" vertical="center" wrapText="1"/>
    </xf>
    <xf numFmtId="0" fontId="2" fillId="6" borderId="0" xfId="0" applyFont="1" applyFill="1"/>
    <xf numFmtId="0" fontId="4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9" fillId="4" borderId="2" xfId="0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14" fontId="11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2" fillId="4" borderId="1" xfId="0" quotePrefix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quotePrefix="1" applyFont="1" applyFill="1" applyBorder="1" applyAlignment="1">
      <alignment horizontal="center" vertical="center" wrapText="1"/>
    </xf>
    <xf numFmtId="0" fontId="12" fillId="0" borderId="8" xfId="0" quotePrefix="1" applyFont="1" applyBorder="1" applyAlignment="1">
      <alignment horizontal="right"/>
    </xf>
    <xf numFmtId="0" fontId="9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2" borderId="1" xfId="0" quotePrefix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4" fillId="2" borderId="1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4" fillId="0" borderId="1" xfId="0" quotePrefix="1" applyFont="1" applyBorder="1" applyAlignment="1">
      <alignment horizontal="right"/>
    </xf>
    <xf numFmtId="0" fontId="4" fillId="6" borderId="1" xfId="0" applyFont="1" applyFill="1" applyBorder="1" applyAlignment="1">
      <alignment horizontal="center" vertical="center"/>
    </xf>
    <xf numFmtId="0" fontId="15" fillId="4" borderId="4" xfId="0" applyFont="1" applyFill="1" applyBorder="1" applyAlignment="1" applyProtection="1">
      <alignment vertical="center" wrapText="1"/>
    </xf>
    <xf numFmtId="0" fontId="2" fillId="2" borderId="3" xfId="0" applyFont="1" applyFill="1" applyBorder="1" applyAlignment="1">
      <alignment horizontal="center"/>
    </xf>
    <xf numFmtId="0" fontId="7" fillId="2" borderId="0" xfId="1" applyFont="1" applyFill="1" applyAlignment="1">
      <alignment horizontal="left"/>
    </xf>
    <xf numFmtId="0" fontId="7" fillId="2" borderId="0" xfId="1" applyFont="1" applyFill="1" applyAlignment="1">
      <alignment horizontal="left" vertical="center"/>
    </xf>
    <xf numFmtId="0" fontId="11" fillId="2" borderId="0" xfId="1" applyFont="1" applyFill="1" applyAlignment="1">
      <alignment horizontal="left" vertical="center"/>
    </xf>
    <xf numFmtId="0" fontId="7" fillId="3" borderId="1" xfId="0" applyFont="1" applyFill="1" applyBorder="1" applyAlignment="1" applyProtection="1">
      <alignment horizontal="left" vertical="center" wrapText="1"/>
    </xf>
    <xf numFmtId="0" fontId="11" fillId="4" borderId="1" xfId="0" applyFont="1" applyFill="1" applyBorder="1" applyAlignment="1" applyProtection="1">
      <alignment horizontal="left" vertical="center" wrapText="1"/>
    </xf>
    <xf numFmtId="0" fontId="11" fillId="2" borderId="0" xfId="0" applyFont="1" applyFill="1" applyAlignment="1">
      <alignment horizontal="left"/>
    </xf>
    <xf numFmtId="0" fontId="11" fillId="2" borderId="1" xfId="0" applyFont="1" applyFill="1" applyBorder="1" applyAlignment="1">
      <alignment horizontal="left"/>
    </xf>
    <xf numFmtId="16" fontId="11" fillId="2" borderId="1" xfId="0" quotePrefix="1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 vertical="center"/>
    </xf>
    <xf numFmtId="0" fontId="9" fillId="2" borderId="0" xfId="0" applyFont="1" applyFill="1"/>
    <xf numFmtId="0" fontId="11" fillId="6" borderId="1" xfId="0" applyFont="1" applyFill="1" applyBorder="1" applyAlignment="1">
      <alignment horizontal="left"/>
    </xf>
    <xf numFmtId="0" fontId="11" fillId="2" borderId="1" xfId="0" applyFont="1" applyFill="1" applyBorder="1"/>
    <xf numFmtId="0" fontId="16" fillId="2" borderId="1" xfId="0" applyFont="1" applyFill="1" applyBorder="1"/>
    <xf numFmtId="0" fontId="11" fillId="2" borderId="1" xfId="0" quotePrefix="1" applyFont="1" applyFill="1" applyBorder="1" applyAlignment="1" applyProtection="1">
      <alignment horizontal="center" vertical="center" wrapText="1"/>
    </xf>
    <xf numFmtId="0" fontId="11" fillId="2" borderId="1" xfId="0" quotePrefix="1" applyFont="1" applyFill="1" applyBorder="1" applyAlignment="1">
      <alignment horizontal="center"/>
    </xf>
    <xf numFmtId="0" fontId="11" fillId="2" borderId="1" xfId="0" applyFont="1" applyFill="1" applyBorder="1" applyAlignment="1" applyProtection="1">
      <alignment horizontal="left" vertical="center" wrapText="1"/>
    </xf>
    <xf numFmtId="0" fontId="17" fillId="2" borderId="0" xfId="1" applyFont="1" applyFill="1" applyAlignment="1">
      <alignment horizontal="left"/>
    </xf>
    <xf numFmtId="0" fontId="18" fillId="2" borderId="0" xfId="0" applyFont="1" applyFill="1" applyAlignment="1">
      <alignment horizontal="left"/>
    </xf>
    <xf numFmtId="0" fontId="17" fillId="2" borderId="0" xfId="1" applyFont="1" applyFill="1" applyAlignment="1">
      <alignment horizontal="left" vertical="center"/>
    </xf>
    <xf numFmtId="0" fontId="18" fillId="2" borderId="0" xfId="1" applyFont="1" applyFill="1" applyAlignment="1">
      <alignment horizontal="left" vertical="center"/>
    </xf>
    <xf numFmtId="0" fontId="17" fillId="3" borderId="1" xfId="0" applyFont="1" applyFill="1" applyBorder="1" applyAlignment="1" applyProtection="1">
      <alignment horizontal="center" vertical="center" wrapText="1"/>
    </xf>
    <xf numFmtId="0" fontId="18" fillId="4" borderId="1" xfId="0" applyFont="1" applyFill="1" applyBorder="1" applyAlignment="1" applyProtection="1">
      <alignment horizontal="left" vertical="center" wrapText="1"/>
    </xf>
    <xf numFmtId="16" fontId="18" fillId="2" borderId="1" xfId="0" quotePrefix="1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18" fillId="4" borderId="1" xfId="0" quotePrefix="1" applyFont="1" applyFill="1" applyBorder="1" applyAlignment="1" applyProtection="1">
      <alignment horizontal="left" vertical="center" wrapText="1"/>
    </xf>
    <xf numFmtId="0" fontId="18" fillId="4" borderId="1" xfId="0" applyFont="1" applyFill="1" applyBorder="1" applyAlignment="1" applyProtection="1">
      <alignment horizontal="center" vertical="center" wrapText="1"/>
    </xf>
    <xf numFmtId="16" fontId="4" fillId="2" borderId="1" xfId="0" quotePrefix="1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22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  <xf numFmtId="0" fontId="9" fillId="0" borderId="3" xfId="0" applyFont="1" applyFill="1" applyBorder="1" applyAlignment="1">
      <alignment vertical="center" wrapText="1"/>
    </xf>
    <xf numFmtId="14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9" fillId="0" borderId="1" xfId="0" quotePrefix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left"/>
    </xf>
    <xf numFmtId="0" fontId="19" fillId="2" borderId="0" xfId="0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17" fillId="3" borderId="1" xfId="0" applyFont="1" applyFill="1" applyBorder="1" applyAlignment="1" applyProtection="1">
      <alignment horizontal="left" vertical="center" wrapText="1"/>
    </xf>
    <xf numFmtId="0" fontId="19" fillId="2" borderId="1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11" fillId="2" borderId="0" xfId="0" applyFont="1" applyFill="1"/>
    <xf numFmtId="0" fontId="16" fillId="2" borderId="0" xfId="0" applyFont="1" applyFill="1"/>
    <xf numFmtId="0" fontId="9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/>
    </xf>
    <xf numFmtId="0" fontId="4" fillId="6" borderId="1" xfId="0" applyFont="1" applyFill="1" applyBorder="1"/>
    <xf numFmtId="0" fontId="12" fillId="0" borderId="1" xfId="0" quotePrefix="1" applyFont="1" applyBorder="1" applyAlignment="1">
      <alignment horizontal="right"/>
    </xf>
    <xf numFmtId="14" fontId="11" fillId="4" borderId="8" xfId="0" applyNumberFormat="1" applyFont="1" applyFill="1" applyBorder="1" applyAlignment="1" applyProtection="1">
      <alignment horizontal="center" vertical="center" wrapText="1"/>
    </xf>
    <xf numFmtId="0" fontId="11" fillId="2" borderId="0" xfId="0" applyFont="1" applyFill="1" applyBorder="1"/>
    <xf numFmtId="0" fontId="11" fillId="6" borderId="1" xfId="0" applyFont="1" applyFill="1" applyBorder="1" applyAlignment="1">
      <alignment horizontal="left" vertical="center"/>
    </xf>
    <xf numFmtId="0" fontId="23" fillId="4" borderId="1" xfId="0" applyNumberFormat="1" applyFont="1" applyFill="1" applyBorder="1" applyAlignment="1" applyProtection="1">
      <alignment horizontal="center" vertical="center" wrapText="1"/>
    </xf>
    <xf numFmtId="0" fontId="7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24" fillId="5" borderId="1" xfId="0" applyFont="1" applyFill="1" applyBorder="1" applyAlignment="1" applyProtection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17" fillId="2" borderId="0" xfId="1" applyFont="1" applyFill="1" applyAlignment="1">
      <alignment horizontal="center"/>
    </xf>
    <xf numFmtId="0" fontId="19" fillId="2" borderId="0" xfId="0" applyFont="1" applyFill="1"/>
    <xf numFmtId="0" fontId="17" fillId="2" borderId="0" xfId="1" applyFont="1" applyFill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0" fontId="2" fillId="10" borderId="1" xfId="0" applyFont="1" applyFill="1" applyBorder="1" applyAlignment="1" applyProtection="1">
      <alignment horizontal="center" vertical="center" wrapText="1"/>
    </xf>
    <xf numFmtId="0" fontId="18" fillId="5" borderId="1" xfId="0" applyFont="1" applyFill="1" applyBorder="1" applyAlignment="1" applyProtection="1">
      <alignment horizontal="center" vertical="center" wrapText="1"/>
    </xf>
    <xf numFmtId="0" fontId="9" fillId="0" borderId="3" xfId="0" applyFont="1" applyBorder="1" applyAlignment="1">
      <alignment horizontal="left"/>
    </xf>
    <xf numFmtId="0" fontId="11" fillId="6" borderId="1" xfId="0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9" fillId="2" borderId="0" xfId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left"/>
    </xf>
    <xf numFmtId="0" fontId="13" fillId="2" borderId="3" xfId="0" applyFont="1" applyFill="1" applyBorder="1" applyAlignment="1">
      <alignment horizontal="left"/>
    </xf>
    <xf numFmtId="0" fontId="3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18" fillId="4" borderId="3" xfId="0" applyFont="1" applyFill="1" applyBorder="1" applyAlignment="1" applyProtection="1">
      <alignment horizontal="center" vertical="center" wrapText="1"/>
    </xf>
    <xf numFmtId="0" fontId="11" fillId="7" borderId="1" xfId="0" applyFont="1" applyFill="1" applyBorder="1" applyAlignment="1" applyProtection="1">
      <alignment horizontal="center" vertical="center" wrapText="1"/>
    </xf>
    <xf numFmtId="0" fontId="3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15" fillId="4" borderId="2" xfId="0" applyFont="1" applyFill="1" applyBorder="1" applyAlignment="1" applyProtection="1">
      <alignment vertical="center" wrapText="1"/>
    </xf>
    <xf numFmtId="14" fontId="23" fillId="4" borderId="1" xfId="0" applyNumberFormat="1" applyFont="1" applyFill="1" applyBorder="1" applyAlignment="1" applyProtection="1">
      <alignment horizontal="center" vertical="center" wrapText="1"/>
    </xf>
    <xf numFmtId="0" fontId="23" fillId="4" borderId="1" xfId="0" applyFont="1" applyFill="1" applyBorder="1" applyAlignment="1" applyProtection="1">
      <alignment horizontal="center" vertical="center" wrapText="1"/>
    </xf>
    <xf numFmtId="0" fontId="26" fillId="4" borderId="1" xfId="0" quotePrefix="1" applyFont="1" applyFill="1" applyBorder="1" applyAlignment="1" applyProtection="1">
      <alignment horizontal="center" vertical="center" wrapText="1"/>
    </xf>
    <xf numFmtId="0" fontId="26" fillId="4" borderId="1" xfId="0" applyFont="1" applyFill="1" applyBorder="1" applyAlignment="1" applyProtection="1">
      <alignment horizontal="center" vertical="center" wrapText="1"/>
    </xf>
    <xf numFmtId="0" fontId="25" fillId="2" borderId="0" xfId="0" applyFont="1" applyFill="1"/>
    <xf numFmtId="0" fontId="11" fillId="0" borderId="1" xfId="0" applyNumberFormat="1" applyFont="1" applyFill="1" applyBorder="1" applyAlignment="1" applyProtection="1">
      <alignment horizontal="center" vertical="center" wrapText="1"/>
    </xf>
    <xf numFmtId="0" fontId="9" fillId="0" borderId="3" xfId="0" applyFont="1" applyFill="1" applyBorder="1" applyAlignment="1" applyProtection="1">
      <alignment vertical="center" wrapText="1"/>
    </xf>
    <xf numFmtId="0" fontId="9" fillId="0" borderId="1" xfId="0" quotePrefix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11" fillId="0" borderId="1" xfId="0" applyFont="1" applyFill="1" applyBorder="1" applyAlignment="1">
      <alignment horizontal="center"/>
    </xf>
    <xf numFmtId="14" fontId="14" fillId="2" borderId="1" xfId="0" quotePrefix="1" applyNumberFormat="1" applyFont="1" applyFill="1" applyBorder="1" applyAlignment="1">
      <alignment horizontal="center" vertical="center"/>
    </xf>
    <xf numFmtId="0" fontId="16" fillId="6" borderId="1" xfId="0" applyFont="1" applyFill="1" applyBorder="1"/>
    <xf numFmtId="0" fontId="26" fillId="2" borderId="0" xfId="0" applyFont="1" applyFill="1"/>
    <xf numFmtId="0" fontId="2" fillId="0" borderId="1" xfId="0" quotePrefix="1" applyFont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/>
    </xf>
    <xf numFmtId="0" fontId="23" fillId="2" borderId="1" xfId="0" applyFont="1" applyFill="1" applyBorder="1" applyAlignment="1">
      <alignment horizontal="left"/>
    </xf>
    <xf numFmtId="0" fontId="26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28" fillId="4" borderId="2" xfId="0" applyFont="1" applyFill="1" applyBorder="1" applyAlignment="1" applyProtection="1">
      <alignment vertical="center" wrapText="1"/>
    </xf>
    <xf numFmtId="0" fontId="28" fillId="4" borderId="3" xfId="0" applyFont="1" applyFill="1" applyBorder="1" applyAlignment="1" applyProtection="1">
      <alignment vertical="center" wrapText="1"/>
    </xf>
    <xf numFmtId="14" fontId="28" fillId="4" borderId="1" xfId="0" applyNumberFormat="1" applyFont="1" applyFill="1" applyBorder="1" applyAlignment="1" applyProtection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8" fillId="0" borderId="1" xfId="0" quotePrefix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right" vertical="center"/>
    </xf>
    <xf numFmtId="0" fontId="28" fillId="0" borderId="1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vertical="center" wrapText="1"/>
    </xf>
    <xf numFmtId="0" fontId="15" fillId="4" borderId="3" xfId="0" applyFont="1" applyFill="1" applyBorder="1" applyAlignment="1">
      <alignment vertical="center" wrapText="1"/>
    </xf>
    <xf numFmtId="14" fontId="23" fillId="4" borderId="1" xfId="0" applyNumberFormat="1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6" fillId="4" borderId="1" xfId="0" quotePrefix="1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27" fillId="2" borderId="1" xfId="0" applyFont="1" applyFill="1" applyBorder="1" applyAlignment="1">
      <alignment horizontal="left"/>
    </xf>
    <xf numFmtId="0" fontId="25" fillId="2" borderId="0" xfId="0" applyFont="1" applyFill="1" applyAlignment="1">
      <alignment horizontal="center"/>
    </xf>
    <xf numFmtId="14" fontId="11" fillId="0" borderId="8" xfId="0" quotePrefix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11" fillId="6" borderId="1" xfId="0" applyFont="1" applyFill="1" applyBorder="1" applyAlignment="1" applyProtection="1">
      <alignment horizontal="center" vertical="center" wrapText="1"/>
    </xf>
    <xf numFmtId="0" fontId="11" fillId="0" borderId="8" xfId="0" quotePrefix="1" applyFont="1" applyBorder="1" applyAlignment="1">
      <alignment horizontal="right"/>
    </xf>
    <xf numFmtId="14" fontId="2" fillId="2" borderId="1" xfId="0" quotePrefix="1" applyNumberFormat="1" applyFont="1" applyFill="1" applyBorder="1" applyAlignment="1">
      <alignment horizontal="center" vertical="center"/>
    </xf>
    <xf numFmtId="14" fontId="12" fillId="0" borderId="8" xfId="0" quotePrefix="1" applyNumberFormat="1" applyFont="1" applyBorder="1" applyAlignment="1">
      <alignment horizontal="right"/>
    </xf>
    <xf numFmtId="0" fontId="16" fillId="6" borderId="1" xfId="0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center" vertical="center"/>
    </xf>
    <xf numFmtId="0" fontId="28" fillId="4" borderId="4" xfId="0" applyFont="1" applyFill="1" applyBorder="1" applyAlignment="1" applyProtection="1">
      <alignment vertical="center" wrapText="1"/>
    </xf>
    <xf numFmtId="0" fontId="25" fillId="2" borderId="1" xfId="0" applyFont="1" applyFill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1" fillId="2" borderId="1" xfId="0" applyFont="1" applyFill="1" applyBorder="1"/>
    <xf numFmtId="14" fontId="31" fillId="2" borderId="1" xfId="0" applyNumberFormat="1" applyFont="1" applyFill="1" applyBorder="1" applyAlignment="1">
      <alignment horizontal="center"/>
    </xf>
    <xf numFmtId="0" fontId="3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31" fillId="2" borderId="1" xfId="0" quotePrefix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center"/>
    </xf>
    <xf numFmtId="14" fontId="31" fillId="2" borderId="1" xfId="0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0" fontId="32" fillId="2" borderId="1" xfId="0" applyFont="1" applyFill="1" applyBorder="1"/>
    <xf numFmtId="14" fontId="32" fillId="2" borderId="1" xfId="0" applyNumberFormat="1" applyFont="1" applyFill="1" applyBorder="1" applyAlignment="1">
      <alignment horizontal="center"/>
    </xf>
    <xf numFmtId="0" fontId="32" fillId="2" borderId="1" xfId="0" applyFont="1" applyFill="1" applyBorder="1" applyAlignment="1">
      <alignment horizontal="left"/>
    </xf>
    <xf numFmtId="0" fontId="32" fillId="2" borderId="1" xfId="0" quotePrefix="1" applyFont="1" applyFill="1" applyBorder="1" applyAlignment="1">
      <alignment horizontal="center"/>
    </xf>
    <xf numFmtId="0" fontId="11" fillId="5" borderId="1" xfId="0" applyFont="1" applyFill="1" applyBorder="1" applyAlignment="1" applyProtection="1">
      <alignment horizontal="left" vertical="center" wrapText="1"/>
    </xf>
    <xf numFmtId="0" fontId="9" fillId="7" borderId="2" xfId="0" applyFont="1" applyFill="1" applyBorder="1" applyAlignment="1">
      <alignment vertical="center" wrapText="1"/>
    </xf>
    <xf numFmtId="0" fontId="9" fillId="7" borderId="3" xfId="0" applyFont="1" applyFill="1" applyBorder="1" applyAlignment="1">
      <alignment vertical="center" wrapText="1"/>
    </xf>
    <xf numFmtId="14" fontId="11" fillId="7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9" fillId="7" borderId="1" xfId="0" quotePrefix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11" fillId="0" borderId="8" xfId="0" quotePrefix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14" fontId="11" fillId="0" borderId="1" xfId="0" quotePrefix="1" applyNumberFormat="1" applyFont="1" applyBorder="1" applyAlignment="1">
      <alignment horizontal="center" vertical="center"/>
    </xf>
    <xf numFmtId="0" fontId="9" fillId="5" borderId="3" xfId="0" applyFont="1" applyFill="1" applyBorder="1" applyAlignment="1" applyProtection="1">
      <alignment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 applyProtection="1">
      <alignment horizontal="center" vertical="center" wrapText="1"/>
    </xf>
    <xf numFmtId="0" fontId="12" fillId="0" borderId="8" xfId="0" quotePrefix="1" applyFont="1" applyBorder="1" applyAlignment="1">
      <alignment horizontal="center" vertical="center"/>
    </xf>
    <xf numFmtId="0" fontId="9" fillId="5" borderId="2" xfId="0" applyFont="1" applyFill="1" applyBorder="1" applyAlignment="1" applyProtection="1">
      <alignment vertical="center" wrapText="1"/>
    </xf>
    <xf numFmtId="14" fontId="12" fillId="6" borderId="8" xfId="0" quotePrefix="1" applyNumberFormat="1" applyFont="1" applyFill="1" applyBorder="1" applyAlignment="1">
      <alignment horizontal="center" vertical="center"/>
    </xf>
    <xf numFmtId="0" fontId="2" fillId="5" borderId="1" xfId="0" quotePrefix="1" applyFont="1" applyFill="1" applyBorder="1" applyAlignment="1" applyProtection="1">
      <alignment horizontal="center" vertical="center" wrapText="1"/>
    </xf>
    <xf numFmtId="0" fontId="26" fillId="2" borderId="0" xfId="0" quotePrefix="1" applyFont="1" applyFill="1"/>
    <xf numFmtId="14" fontId="12" fillId="0" borderId="8" xfId="0" quotePrefix="1" applyNumberFormat="1" applyFont="1" applyBorder="1" applyAlignment="1">
      <alignment horizontal="center" vertical="center"/>
    </xf>
    <xf numFmtId="0" fontId="18" fillId="6" borderId="1" xfId="0" applyFont="1" applyFill="1" applyBorder="1" applyAlignment="1">
      <alignment horizontal="left"/>
    </xf>
    <xf numFmtId="14" fontId="12" fillId="2" borderId="8" xfId="0" quotePrefix="1" applyNumberFormat="1" applyFont="1" applyFill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7" fillId="3" borderId="2" xfId="0" applyFont="1" applyFill="1" applyBorder="1" applyAlignment="1" applyProtection="1">
      <alignment horizontal="center" vertical="center"/>
    </xf>
    <xf numFmtId="0" fontId="7" fillId="3" borderId="3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 wrapText="1"/>
    </xf>
    <xf numFmtId="0" fontId="2" fillId="2" borderId="0" xfId="1" applyFont="1" applyFill="1" applyAlignment="1">
      <alignment horizontal="center"/>
    </xf>
    <xf numFmtId="0" fontId="3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</xf>
    <xf numFmtId="0" fontId="3" fillId="3" borderId="3" xfId="0" applyFont="1" applyFill="1" applyBorder="1" applyAlignment="1" applyProtection="1">
      <alignment horizontal="center" vertical="center"/>
    </xf>
    <xf numFmtId="0" fontId="7" fillId="3" borderId="2" xfId="0" applyFont="1" applyFill="1" applyBorder="1" applyAlignment="1" applyProtection="1">
      <alignment horizontal="center" vertical="center" wrapText="1"/>
    </xf>
    <xf numFmtId="0" fontId="7" fillId="3" borderId="3" xfId="0" applyFont="1" applyFill="1" applyBorder="1" applyAlignment="1" applyProtection="1">
      <alignment horizontal="center" vertical="center" wrapText="1"/>
    </xf>
    <xf numFmtId="0" fontId="9" fillId="2" borderId="7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8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8"/>
  <sheetViews>
    <sheetView workbookViewId="0">
      <selection activeCell="R4" sqref="R4"/>
    </sheetView>
  </sheetViews>
  <sheetFormatPr defaultRowHeight="15"/>
  <cols>
    <col min="1" max="1" width="5.140625" customWidth="1"/>
    <col min="2" max="2" width="12.5703125" customWidth="1"/>
    <col min="3" max="3" width="22.42578125" customWidth="1"/>
    <col min="5" max="5" width="11.42578125" customWidth="1"/>
    <col min="6" max="6" width="12.42578125" customWidth="1"/>
    <col min="7" max="8" width="10.140625" customWidth="1"/>
    <col min="9" max="11" width="11.28515625" customWidth="1"/>
    <col min="12" max="12" width="13.28515625" customWidth="1"/>
    <col min="13" max="13" width="14" customWidth="1"/>
    <col min="14" max="14" width="53.85546875" customWidth="1"/>
    <col min="15" max="15" width="11.42578125" customWidth="1"/>
    <col min="16" max="17" width="12" customWidth="1"/>
    <col min="18" max="19" width="15.140625" customWidth="1"/>
    <col min="22" max="22" width="27.140625" customWidth="1"/>
  </cols>
  <sheetData>
    <row r="1" spans="1:22" ht="33.75" customHeight="1">
      <c r="A1" s="292" t="s">
        <v>3310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</row>
    <row r="2" spans="1:22" ht="29.25" customHeight="1">
      <c r="A2" s="293" t="s">
        <v>4</v>
      </c>
      <c r="B2" s="293" t="s">
        <v>3311</v>
      </c>
      <c r="C2" s="295" t="s">
        <v>5</v>
      </c>
      <c r="D2" s="296"/>
      <c r="E2" s="293" t="s">
        <v>3200</v>
      </c>
      <c r="F2" s="293" t="s">
        <v>3312</v>
      </c>
      <c r="G2" s="293" t="s">
        <v>3313</v>
      </c>
      <c r="H2" s="293" t="s">
        <v>3314</v>
      </c>
      <c r="I2" s="299" t="s">
        <v>3315</v>
      </c>
      <c r="J2" s="299"/>
      <c r="K2" s="299"/>
      <c r="L2" s="299" t="s">
        <v>3316</v>
      </c>
      <c r="M2" s="299"/>
      <c r="N2" s="299"/>
      <c r="O2" s="300" t="s">
        <v>3327</v>
      </c>
      <c r="P2" s="300" t="s">
        <v>3317</v>
      </c>
      <c r="Q2" s="300" t="s">
        <v>3318</v>
      </c>
      <c r="R2" s="293" t="s">
        <v>3319</v>
      </c>
      <c r="S2" s="293" t="s">
        <v>3320</v>
      </c>
      <c r="T2" s="293" t="s">
        <v>3311</v>
      </c>
      <c r="U2" s="293" t="s">
        <v>7</v>
      </c>
      <c r="V2" s="299" t="s">
        <v>2329</v>
      </c>
    </row>
    <row r="3" spans="1:22" ht="45.75" customHeight="1">
      <c r="A3" s="294"/>
      <c r="B3" s="294"/>
      <c r="C3" s="297"/>
      <c r="D3" s="298"/>
      <c r="E3" s="294"/>
      <c r="F3" s="294"/>
      <c r="G3" s="294"/>
      <c r="H3" s="294"/>
      <c r="I3" s="249" t="s">
        <v>3321</v>
      </c>
      <c r="J3" s="249" t="s">
        <v>3322</v>
      </c>
      <c r="K3" s="249" t="s">
        <v>3323</v>
      </c>
      <c r="L3" s="249" t="s">
        <v>3324</v>
      </c>
      <c r="M3" s="249" t="s">
        <v>3325</v>
      </c>
      <c r="N3" s="250" t="s">
        <v>3326</v>
      </c>
      <c r="O3" s="301"/>
      <c r="P3" s="294"/>
      <c r="Q3" s="294"/>
      <c r="R3" s="294"/>
      <c r="S3" s="294"/>
      <c r="T3" s="294"/>
      <c r="U3" s="294"/>
      <c r="V3" s="299"/>
    </row>
    <row r="4" spans="1:22" ht="23.25" customHeight="1">
      <c r="A4" s="251">
        <v>1</v>
      </c>
      <c r="B4" s="251"/>
      <c r="C4" s="252"/>
      <c r="D4" s="24"/>
      <c r="E4" s="253"/>
      <c r="F4" s="254" t="s">
        <v>3328</v>
      </c>
      <c r="G4" s="255"/>
      <c r="H4" s="255"/>
      <c r="I4" s="255"/>
      <c r="J4" s="255"/>
      <c r="K4" s="255"/>
      <c r="L4" s="255"/>
      <c r="M4" s="255"/>
      <c r="N4" s="256"/>
      <c r="O4" s="257" t="s">
        <v>3329</v>
      </c>
      <c r="P4" s="258"/>
      <c r="Q4" s="255"/>
      <c r="R4" s="255"/>
      <c r="S4" s="255"/>
      <c r="T4" s="255"/>
      <c r="U4" s="255"/>
      <c r="V4" s="255"/>
    </row>
    <row r="5" spans="1:22" ht="23.25" customHeight="1">
      <c r="A5" s="251">
        <v>2</v>
      </c>
      <c r="B5" s="251"/>
      <c r="C5" s="252"/>
      <c r="D5" s="24"/>
      <c r="E5" s="253"/>
      <c r="F5" s="255"/>
      <c r="G5" s="255"/>
      <c r="H5" s="255"/>
      <c r="I5" s="255"/>
      <c r="J5" s="255"/>
      <c r="K5" s="255"/>
      <c r="L5" s="255"/>
      <c r="M5" s="255"/>
      <c r="N5" s="256"/>
      <c r="O5" s="255"/>
      <c r="P5" s="258"/>
      <c r="Q5" s="255"/>
      <c r="R5" s="255"/>
      <c r="S5" s="255"/>
      <c r="T5" s="255"/>
      <c r="U5" s="255"/>
      <c r="V5" s="255"/>
    </row>
    <row r="6" spans="1:22" ht="23.25" customHeight="1">
      <c r="A6" s="251">
        <v>3</v>
      </c>
      <c r="B6" s="251"/>
      <c r="C6" s="252"/>
      <c r="D6" s="24"/>
      <c r="E6" s="253"/>
      <c r="F6" s="255"/>
      <c r="G6" s="255"/>
      <c r="H6" s="255"/>
      <c r="I6" s="255"/>
      <c r="J6" s="255"/>
      <c r="K6" s="255"/>
      <c r="L6" s="255"/>
      <c r="M6" s="255"/>
      <c r="N6" s="256"/>
      <c r="O6" s="255"/>
      <c r="P6" s="258"/>
      <c r="Q6" s="255"/>
      <c r="R6" s="255"/>
      <c r="S6" s="255"/>
      <c r="T6" s="255"/>
      <c r="U6" s="255"/>
      <c r="V6" s="255"/>
    </row>
    <row r="7" spans="1:22" ht="23.25" customHeight="1">
      <c r="A7" s="251">
        <v>4</v>
      </c>
      <c r="B7" s="251"/>
      <c r="C7" s="252"/>
      <c r="D7" s="24"/>
      <c r="E7" s="253"/>
      <c r="F7" s="255"/>
      <c r="G7" s="255"/>
      <c r="H7" s="255"/>
      <c r="I7" s="255"/>
      <c r="J7" s="255"/>
      <c r="K7" s="255"/>
      <c r="L7" s="255"/>
      <c r="M7" s="255"/>
      <c r="N7" s="256"/>
      <c r="O7" s="255"/>
      <c r="P7" s="258"/>
      <c r="Q7" s="255"/>
      <c r="R7" s="255"/>
      <c r="S7" s="255"/>
      <c r="T7" s="255"/>
      <c r="U7" s="255"/>
      <c r="V7" s="255"/>
    </row>
    <row r="8" spans="1:22" ht="23.25" customHeight="1">
      <c r="A8" s="251">
        <v>5</v>
      </c>
      <c r="B8" s="251"/>
      <c r="C8" s="252"/>
      <c r="D8" s="24"/>
      <c r="E8" s="253"/>
      <c r="F8" s="255"/>
      <c r="G8" s="255"/>
      <c r="H8" s="255"/>
      <c r="I8" s="255"/>
      <c r="J8" s="255"/>
      <c r="K8" s="255"/>
      <c r="L8" s="255"/>
      <c r="M8" s="255"/>
      <c r="N8" s="256"/>
      <c r="O8" s="255"/>
      <c r="P8" s="258"/>
      <c r="Q8" s="255"/>
      <c r="R8" s="255"/>
      <c r="S8" s="255"/>
      <c r="T8" s="255"/>
      <c r="U8" s="255"/>
      <c r="V8" s="255"/>
    </row>
    <row r="9" spans="1:22" ht="23.25" customHeight="1">
      <c r="A9" s="251">
        <v>6</v>
      </c>
      <c r="B9" s="251"/>
      <c r="C9" s="252"/>
      <c r="D9" s="24"/>
      <c r="E9" s="253"/>
      <c r="F9" s="255"/>
      <c r="G9" s="255"/>
      <c r="H9" s="255"/>
      <c r="I9" s="255"/>
      <c r="J9" s="255"/>
      <c r="K9" s="255"/>
      <c r="L9" s="255"/>
      <c r="M9" s="255"/>
      <c r="N9" s="256"/>
      <c r="O9" s="255"/>
      <c r="P9" s="258"/>
      <c r="Q9" s="255"/>
      <c r="R9" s="255"/>
      <c r="S9" s="255"/>
      <c r="T9" s="255"/>
      <c r="U9" s="255"/>
      <c r="V9" s="255"/>
    </row>
    <row r="10" spans="1:22" ht="23.25" customHeight="1">
      <c r="A10" s="251">
        <v>7</v>
      </c>
      <c r="B10" s="251"/>
      <c r="C10" s="252"/>
      <c r="D10" s="24"/>
      <c r="E10" s="253"/>
      <c r="F10" s="255"/>
      <c r="G10" s="255"/>
      <c r="H10" s="255"/>
      <c r="I10" s="255"/>
      <c r="J10" s="255"/>
      <c r="K10" s="255"/>
      <c r="L10" s="255"/>
      <c r="M10" s="255"/>
      <c r="N10" s="256"/>
      <c r="O10" s="255"/>
      <c r="P10" s="258"/>
      <c r="Q10" s="255"/>
      <c r="R10" s="255"/>
      <c r="S10" s="255"/>
      <c r="T10" s="255"/>
      <c r="U10" s="255"/>
      <c r="V10" s="255"/>
    </row>
    <row r="11" spans="1:22" ht="23.25" customHeight="1">
      <c r="A11" s="251">
        <v>8</v>
      </c>
      <c r="B11" s="251"/>
      <c r="C11" s="252"/>
      <c r="D11" s="24"/>
      <c r="E11" s="253"/>
      <c r="F11" s="255"/>
      <c r="G11" s="255"/>
      <c r="H11" s="255"/>
      <c r="I11" s="255"/>
      <c r="J11" s="255"/>
      <c r="K11" s="255"/>
      <c r="L11" s="255"/>
      <c r="M11" s="255"/>
      <c r="N11" s="256"/>
      <c r="O11" s="255"/>
      <c r="P11" s="258"/>
      <c r="Q11" s="255"/>
      <c r="R11" s="255"/>
      <c r="S11" s="255"/>
      <c r="T11" s="255"/>
      <c r="U11" s="255"/>
      <c r="V11" s="255"/>
    </row>
    <row r="12" spans="1:22" ht="23.25" customHeight="1">
      <c r="A12" s="251">
        <v>9</v>
      </c>
      <c r="B12" s="251"/>
      <c r="C12" s="252"/>
      <c r="D12" s="24"/>
      <c r="E12" s="253"/>
      <c r="F12" s="255"/>
      <c r="G12" s="255"/>
      <c r="H12" s="255"/>
      <c r="I12" s="255"/>
      <c r="J12" s="255"/>
      <c r="K12" s="255"/>
      <c r="L12" s="255"/>
      <c r="M12" s="255"/>
      <c r="N12" s="256"/>
      <c r="O12" s="255"/>
      <c r="P12" s="258"/>
      <c r="Q12" s="255"/>
      <c r="R12" s="255"/>
      <c r="S12" s="255"/>
      <c r="T12" s="255"/>
      <c r="U12" s="255"/>
      <c r="V12" s="255"/>
    </row>
    <row r="13" spans="1:22" ht="23.25" customHeight="1">
      <c r="A13" s="251">
        <v>10</v>
      </c>
      <c r="B13" s="251"/>
      <c r="C13" s="252"/>
      <c r="D13" s="24"/>
      <c r="E13" s="253"/>
      <c r="F13" s="255"/>
      <c r="G13" s="255"/>
      <c r="H13" s="255"/>
      <c r="I13" s="255"/>
      <c r="J13" s="255"/>
      <c r="K13" s="255"/>
      <c r="L13" s="255"/>
      <c r="M13" s="255"/>
      <c r="N13" s="256"/>
      <c r="O13" s="255"/>
      <c r="P13" s="258"/>
      <c r="Q13" s="255"/>
      <c r="R13" s="255"/>
      <c r="S13" s="255"/>
      <c r="T13" s="255"/>
      <c r="U13" s="255"/>
      <c r="V13" s="255"/>
    </row>
    <row r="14" spans="1:22" ht="23.25" customHeight="1">
      <c r="A14" s="251">
        <v>11</v>
      </c>
      <c r="B14" s="251"/>
      <c r="C14" s="252"/>
      <c r="D14" s="24"/>
      <c r="E14" s="253"/>
      <c r="F14" s="255"/>
      <c r="G14" s="255"/>
      <c r="H14" s="255"/>
      <c r="I14" s="255"/>
      <c r="J14" s="255"/>
      <c r="K14" s="255"/>
      <c r="L14" s="255"/>
      <c r="M14" s="255"/>
      <c r="N14" s="256"/>
      <c r="O14" s="255"/>
      <c r="P14" s="258"/>
      <c r="Q14" s="255"/>
      <c r="R14" s="255"/>
      <c r="S14" s="255"/>
      <c r="T14" s="255"/>
      <c r="U14" s="255"/>
      <c r="V14" s="255"/>
    </row>
    <row r="15" spans="1:22" ht="23.25" customHeight="1">
      <c r="A15" s="251">
        <v>12</v>
      </c>
      <c r="B15" s="251"/>
      <c r="C15" s="252"/>
      <c r="D15" s="24"/>
      <c r="E15" s="253"/>
      <c r="F15" s="255"/>
      <c r="G15" s="255"/>
      <c r="H15" s="255"/>
      <c r="I15" s="255"/>
      <c r="J15" s="255"/>
      <c r="K15" s="255"/>
      <c r="L15" s="255"/>
      <c r="M15" s="255"/>
      <c r="N15" s="256"/>
      <c r="O15" s="255"/>
      <c r="P15" s="258"/>
      <c r="Q15" s="255"/>
      <c r="R15" s="255"/>
      <c r="S15" s="255"/>
      <c r="T15" s="255"/>
      <c r="U15" s="255"/>
      <c r="V15" s="255"/>
    </row>
    <row r="16" spans="1:22" ht="23.25" customHeight="1">
      <c r="A16" s="251">
        <v>13</v>
      </c>
      <c r="B16" s="251"/>
      <c r="C16" s="252"/>
      <c r="D16" s="24"/>
      <c r="E16" s="253"/>
      <c r="F16" s="255"/>
      <c r="G16" s="255"/>
      <c r="H16" s="255"/>
      <c r="I16" s="255"/>
      <c r="J16" s="255"/>
      <c r="K16" s="255"/>
      <c r="L16" s="255"/>
      <c r="M16" s="255"/>
      <c r="N16" s="256"/>
      <c r="O16" s="255"/>
      <c r="P16" s="258"/>
      <c r="Q16" s="255"/>
      <c r="R16" s="255"/>
      <c r="S16" s="255"/>
      <c r="T16" s="255"/>
      <c r="U16" s="255"/>
      <c r="V16" s="255"/>
    </row>
    <row r="17" spans="1:22" ht="23.25" customHeight="1">
      <c r="A17" s="251">
        <v>14</v>
      </c>
      <c r="B17" s="251"/>
      <c r="C17" s="252"/>
      <c r="D17" s="24"/>
      <c r="E17" s="253"/>
      <c r="F17" s="255"/>
      <c r="G17" s="255"/>
      <c r="H17" s="255"/>
      <c r="I17" s="255"/>
      <c r="J17" s="255"/>
      <c r="K17" s="255"/>
      <c r="L17" s="255"/>
      <c r="M17" s="255"/>
      <c r="N17" s="256"/>
      <c r="O17" s="255"/>
      <c r="P17" s="258"/>
      <c r="Q17" s="255"/>
      <c r="R17" s="255"/>
      <c r="S17" s="255"/>
      <c r="T17" s="255"/>
      <c r="U17" s="255"/>
      <c r="V17" s="255"/>
    </row>
    <row r="18" spans="1:22" ht="23.25" customHeight="1">
      <c r="A18" s="251">
        <v>15</v>
      </c>
      <c r="B18" s="251"/>
      <c r="C18" s="252"/>
      <c r="D18" s="24"/>
      <c r="E18" s="253"/>
      <c r="F18" s="255"/>
      <c r="G18" s="255"/>
      <c r="H18" s="255"/>
      <c r="I18" s="255"/>
      <c r="J18" s="255"/>
      <c r="K18" s="255"/>
      <c r="L18" s="255"/>
      <c r="M18" s="255"/>
      <c r="N18" s="256"/>
      <c r="O18" s="255"/>
      <c r="P18" s="258"/>
      <c r="Q18" s="255"/>
      <c r="R18" s="255"/>
      <c r="S18" s="255"/>
      <c r="T18" s="255"/>
      <c r="U18" s="255"/>
      <c r="V18" s="255"/>
    </row>
    <row r="19" spans="1:22" ht="23.25" customHeight="1">
      <c r="A19" s="251">
        <v>16</v>
      </c>
      <c r="B19" s="251"/>
      <c r="C19" s="252"/>
      <c r="D19" s="24"/>
      <c r="E19" s="253"/>
      <c r="F19" s="255"/>
      <c r="G19" s="255"/>
      <c r="H19" s="255"/>
      <c r="I19" s="255"/>
      <c r="J19" s="255"/>
      <c r="K19" s="255"/>
      <c r="L19" s="255"/>
      <c r="M19" s="255"/>
      <c r="N19" s="256"/>
      <c r="O19" s="255"/>
      <c r="P19" s="258"/>
      <c r="Q19" s="255"/>
      <c r="R19" s="255"/>
      <c r="S19" s="255"/>
      <c r="T19" s="255"/>
      <c r="U19" s="255"/>
      <c r="V19" s="255"/>
    </row>
    <row r="20" spans="1:22" ht="23.25" customHeight="1">
      <c r="A20" s="251">
        <v>17</v>
      </c>
      <c r="B20" s="251"/>
      <c r="C20" s="252"/>
      <c r="D20" s="24"/>
      <c r="E20" s="253"/>
      <c r="F20" s="255"/>
      <c r="G20" s="255"/>
      <c r="H20" s="255"/>
      <c r="I20" s="255"/>
      <c r="J20" s="255"/>
      <c r="K20" s="255"/>
      <c r="L20" s="255"/>
      <c r="M20" s="255"/>
      <c r="N20" s="256"/>
      <c r="O20" s="255"/>
      <c r="P20" s="258"/>
      <c r="Q20" s="255"/>
      <c r="R20" s="255"/>
      <c r="S20" s="255"/>
      <c r="T20" s="255"/>
      <c r="U20" s="255"/>
      <c r="V20" s="255"/>
    </row>
    <row r="21" spans="1:22" ht="23.25" customHeight="1">
      <c r="A21" s="251">
        <v>18</v>
      </c>
      <c r="B21" s="251"/>
      <c r="C21" s="252"/>
      <c r="D21" s="24"/>
      <c r="E21" s="253"/>
      <c r="F21" s="255"/>
      <c r="G21" s="255"/>
      <c r="H21" s="255"/>
      <c r="I21" s="255"/>
      <c r="J21" s="255"/>
      <c r="K21" s="255"/>
      <c r="L21" s="255"/>
      <c r="M21" s="255"/>
      <c r="N21" s="256"/>
      <c r="O21" s="255"/>
      <c r="P21" s="258"/>
      <c r="Q21" s="255"/>
      <c r="R21" s="255"/>
      <c r="S21" s="255"/>
      <c r="T21" s="255"/>
      <c r="U21" s="255"/>
      <c r="V21" s="255"/>
    </row>
    <row r="22" spans="1:22" ht="23.25" customHeight="1">
      <c r="A22" s="251">
        <v>19</v>
      </c>
      <c r="B22" s="251"/>
      <c r="C22" s="252"/>
      <c r="D22" s="24"/>
      <c r="E22" s="253"/>
      <c r="F22" s="255"/>
      <c r="G22" s="255"/>
      <c r="H22" s="255"/>
      <c r="I22" s="255"/>
      <c r="J22" s="255"/>
      <c r="K22" s="255"/>
      <c r="L22" s="255"/>
      <c r="M22" s="255"/>
      <c r="N22" s="256"/>
      <c r="O22" s="255"/>
      <c r="P22" s="258"/>
      <c r="Q22" s="255"/>
      <c r="R22" s="255"/>
      <c r="S22" s="255"/>
      <c r="T22" s="255"/>
      <c r="U22" s="255"/>
      <c r="V22" s="255"/>
    </row>
    <row r="23" spans="1:22" ht="23.25" customHeight="1">
      <c r="A23" s="251">
        <v>20</v>
      </c>
      <c r="B23" s="251"/>
      <c r="C23" s="252"/>
      <c r="D23" s="24"/>
      <c r="E23" s="253"/>
      <c r="F23" s="255"/>
      <c r="G23" s="255"/>
      <c r="H23" s="255"/>
      <c r="I23" s="255"/>
      <c r="J23" s="255"/>
      <c r="K23" s="255"/>
      <c r="L23" s="255"/>
      <c r="M23" s="255"/>
      <c r="N23" s="256"/>
      <c r="O23" s="255"/>
      <c r="P23" s="258"/>
      <c r="Q23" s="255"/>
      <c r="R23" s="255"/>
      <c r="S23" s="255"/>
      <c r="T23" s="255"/>
      <c r="U23" s="255"/>
      <c r="V23" s="255"/>
    </row>
    <row r="24" spans="1:22" ht="23.25" customHeight="1">
      <c r="A24" s="251">
        <v>21</v>
      </c>
      <c r="B24" s="251"/>
      <c r="C24" s="252"/>
      <c r="D24" s="24"/>
      <c r="E24" s="253"/>
      <c r="F24" s="255"/>
      <c r="G24" s="255"/>
      <c r="H24" s="255"/>
      <c r="I24" s="255"/>
      <c r="J24" s="255"/>
      <c r="K24" s="255"/>
      <c r="L24" s="255"/>
      <c r="M24" s="255"/>
      <c r="N24" s="256"/>
      <c r="O24" s="255"/>
      <c r="P24" s="258"/>
      <c r="Q24" s="255"/>
      <c r="R24" s="255"/>
      <c r="S24" s="255"/>
      <c r="T24" s="255"/>
      <c r="U24" s="255"/>
      <c r="V24" s="255"/>
    </row>
    <row r="25" spans="1:22" ht="23.25" customHeight="1">
      <c r="A25" s="251">
        <v>22</v>
      </c>
      <c r="B25" s="251"/>
      <c r="C25" s="252"/>
      <c r="D25" s="24"/>
      <c r="E25" s="253"/>
      <c r="F25" s="255"/>
      <c r="G25" s="255"/>
      <c r="H25" s="255"/>
      <c r="I25" s="255"/>
      <c r="J25" s="255"/>
      <c r="K25" s="255"/>
      <c r="L25" s="255"/>
      <c r="M25" s="255"/>
      <c r="N25" s="256"/>
      <c r="O25" s="255"/>
      <c r="P25" s="258"/>
      <c r="Q25" s="255"/>
      <c r="R25" s="255"/>
      <c r="S25" s="255"/>
      <c r="T25" s="255"/>
      <c r="U25" s="255"/>
      <c r="V25" s="255"/>
    </row>
    <row r="26" spans="1:22" ht="23.25" customHeight="1">
      <c r="A26" s="251">
        <v>23</v>
      </c>
      <c r="B26" s="251"/>
      <c r="C26" s="252"/>
      <c r="D26" s="24"/>
      <c r="E26" s="253"/>
      <c r="F26" s="255"/>
      <c r="G26" s="255"/>
      <c r="H26" s="255"/>
      <c r="I26" s="255"/>
      <c r="J26" s="255"/>
      <c r="K26" s="255"/>
      <c r="L26" s="255"/>
      <c r="M26" s="255"/>
      <c r="N26" s="256"/>
      <c r="O26" s="255"/>
      <c r="P26" s="258"/>
      <c r="Q26" s="255"/>
      <c r="R26" s="255"/>
      <c r="S26" s="255"/>
      <c r="T26" s="255"/>
      <c r="U26" s="255"/>
      <c r="V26" s="255"/>
    </row>
    <row r="27" spans="1:22" ht="23.25" customHeight="1">
      <c r="A27" s="251">
        <v>24</v>
      </c>
      <c r="B27" s="251"/>
      <c r="C27" s="252"/>
      <c r="D27" s="24"/>
      <c r="E27" s="253"/>
      <c r="F27" s="255"/>
      <c r="G27" s="255"/>
      <c r="H27" s="255"/>
      <c r="I27" s="255"/>
      <c r="J27" s="255"/>
      <c r="K27" s="255"/>
      <c r="L27" s="255"/>
      <c r="M27" s="255"/>
      <c r="N27" s="256"/>
      <c r="O27" s="255"/>
      <c r="P27" s="258"/>
      <c r="Q27" s="255"/>
      <c r="R27" s="255"/>
      <c r="S27" s="255"/>
      <c r="T27" s="255"/>
      <c r="U27" s="255"/>
      <c r="V27" s="255"/>
    </row>
    <row r="28" spans="1:22" ht="23.25" customHeight="1">
      <c r="A28" s="251">
        <v>25</v>
      </c>
      <c r="B28" s="251"/>
      <c r="C28" s="252"/>
      <c r="D28" s="24"/>
      <c r="E28" s="253"/>
      <c r="F28" s="255"/>
      <c r="G28" s="255"/>
      <c r="H28" s="255"/>
      <c r="I28" s="255"/>
      <c r="J28" s="255"/>
      <c r="K28" s="255"/>
      <c r="L28" s="255"/>
      <c r="M28" s="255"/>
      <c r="N28" s="256"/>
      <c r="O28" s="255"/>
      <c r="P28" s="258"/>
      <c r="Q28" s="255"/>
      <c r="R28" s="255"/>
      <c r="S28" s="255"/>
      <c r="T28" s="255"/>
      <c r="U28" s="255"/>
      <c r="V28" s="255"/>
    </row>
    <row r="29" spans="1:22" ht="23.25" customHeight="1">
      <c r="A29" s="251">
        <v>26</v>
      </c>
      <c r="B29" s="251"/>
      <c r="C29" s="252"/>
      <c r="D29" s="24"/>
      <c r="E29" s="253"/>
      <c r="F29" s="255"/>
      <c r="G29" s="255"/>
      <c r="H29" s="255"/>
      <c r="I29" s="255"/>
      <c r="J29" s="255"/>
      <c r="K29" s="255"/>
      <c r="L29" s="255"/>
      <c r="M29" s="255"/>
      <c r="N29" s="256"/>
      <c r="O29" s="255"/>
      <c r="P29" s="258"/>
      <c r="Q29" s="255"/>
      <c r="R29" s="255"/>
      <c r="S29" s="255"/>
      <c r="T29" s="255"/>
      <c r="U29" s="255"/>
      <c r="V29" s="255"/>
    </row>
    <row r="30" spans="1:22" ht="23.25" customHeight="1">
      <c r="A30" s="251">
        <v>27</v>
      </c>
      <c r="B30" s="251"/>
      <c r="C30" s="252"/>
      <c r="D30" s="24"/>
      <c r="E30" s="253"/>
      <c r="F30" s="255"/>
      <c r="G30" s="255"/>
      <c r="H30" s="255"/>
      <c r="I30" s="255"/>
      <c r="J30" s="255"/>
      <c r="K30" s="255"/>
      <c r="L30" s="255"/>
      <c r="M30" s="255"/>
      <c r="N30" s="256"/>
      <c r="O30" s="255"/>
      <c r="P30" s="258"/>
      <c r="Q30" s="255"/>
      <c r="R30" s="255"/>
      <c r="S30" s="255"/>
      <c r="T30" s="255"/>
      <c r="U30" s="255"/>
      <c r="V30" s="255"/>
    </row>
    <row r="31" spans="1:22" ht="23.25" customHeight="1">
      <c r="A31" s="251">
        <v>28</v>
      </c>
      <c r="B31" s="251"/>
      <c r="C31" s="24"/>
      <c r="D31" s="24"/>
      <c r="E31" s="259"/>
      <c r="F31" s="255"/>
      <c r="G31" s="255"/>
      <c r="H31" s="255"/>
      <c r="I31" s="255"/>
      <c r="J31" s="255"/>
      <c r="K31" s="255"/>
      <c r="L31" s="255"/>
      <c r="M31" s="255"/>
      <c r="N31" s="260"/>
      <c r="O31" s="255"/>
      <c r="P31" s="261"/>
      <c r="Q31" s="255"/>
      <c r="R31" s="255"/>
      <c r="S31" s="255"/>
      <c r="T31" s="255"/>
      <c r="U31" s="255"/>
      <c r="V31" s="255"/>
    </row>
    <row r="32" spans="1:22" ht="23.25" customHeight="1">
      <c r="A32" s="251">
        <v>29</v>
      </c>
      <c r="B32" s="251"/>
      <c r="C32" s="24"/>
      <c r="D32" s="24"/>
      <c r="E32" s="259"/>
      <c r="F32" s="255"/>
      <c r="G32" s="255"/>
      <c r="H32" s="255"/>
      <c r="I32" s="255"/>
      <c r="J32" s="255"/>
      <c r="K32" s="255"/>
      <c r="L32" s="255"/>
      <c r="M32" s="255"/>
      <c r="N32" s="260"/>
      <c r="O32" s="255"/>
      <c r="P32" s="261"/>
      <c r="Q32" s="255"/>
      <c r="R32" s="255"/>
      <c r="S32" s="255"/>
      <c r="T32" s="255"/>
      <c r="U32" s="255"/>
      <c r="V32" s="255"/>
    </row>
    <row r="33" spans="1:22" ht="23.25" customHeight="1">
      <c r="A33" s="251">
        <v>30</v>
      </c>
      <c r="B33" s="251"/>
      <c r="C33" s="252"/>
      <c r="D33" s="24"/>
      <c r="E33" s="253"/>
      <c r="F33" s="255"/>
      <c r="G33" s="255"/>
      <c r="H33" s="255"/>
      <c r="I33" s="255"/>
      <c r="J33" s="255"/>
      <c r="K33" s="255"/>
      <c r="L33" s="255"/>
      <c r="M33" s="255"/>
      <c r="N33" s="256"/>
      <c r="O33" s="255"/>
      <c r="P33" s="258"/>
      <c r="Q33" s="255"/>
      <c r="R33" s="255"/>
      <c r="S33" s="255"/>
      <c r="T33" s="255"/>
      <c r="U33" s="255"/>
      <c r="V33" s="255"/>
    </row>
    <row r="34" spans="1:22" ht="23.25" customHeight="1">
      <c r="A34" s="251">
        <v>31</v>
      </c>
      <c r="B34" s="251"/>
      <c r="C34" s="252"/>
      <c r="D34" s="24"/>
      <c r="E34" s="253"/>
      <c r="F34" s="255"/>
      <c r="G34" s="255"/>
      <c r="H34" s="255"/>
      <c r="I34" s="255"/>
      <c r="J34" s="255"/>
      <c r="K34" s="255"/>
      <c r="L34" s="255"/>
      <c r="M34" s="255"/>
      <c r="N34" s="256"/>
      <c r="O34" s="255"/>
      <c r="P34" s="258"/>
      <c r="Q34" s="255"/>
      <c r="R34" s="255"/>
      <c r="S34" s="255"/>
      <c r="T34" s="255"/>
      <c r="U34" s="255"/>
      <c r="V34" s="255"/>
    </row>
    <row r="35" spans="1:22" ht="23.25" customHeight="1">
      <c r="A35" s="251">
        <v>32</v>
      </c>
      <c r="B35" s="251"/>
      <c r="C35" s="252"/>
      <c r="D35" s="24"/>
      <c r="E35" s="253"/>
      <c r="F35" s="255"/>
      <c r="G35" s="255"/>
      <c r="H35" s="255"/>
      <c r="I35" s="255"/>
      <c r="J35" s="255"/>
      <c r="K35" s="255"/>
      <c r="L35" s="255"/>
      <c r="M35" s="255"/>
      <c r="N35" s="256"/>
      <c r="O35" s="255"/>
      <c r="P35" s="258"/>
      <c r="Q35" s="255"/>
      <c r="R35" s="255"/>
      <c r="S35" s="255"/>
      <c r="T35" s="255"/>
      <c r="U35" s="255"/>
      <c r="V35" s="255"/>
    </row>
    <row r="36" spans="1:22" ht="23.25" customHeight="1">
      <c r="A36" s="251">
        <v>33</v>
      </c>
      <c r="B36" s="251"/>
      <c r="C36" s="252"/>
      <c r="D36" s="24"/>
      <c r="E36" s="253"/>
      <c r="F36" s="255"/>
      <c r="G36" s="255"/>
      <c r="H36" s="255"/>
      <c r="I36" s="255"/>
      <c r="J36" s="255"/>
      <c r="K36" s="255"/>
      <c r="L36" s="255"/>
      <c r="M36" s="255"/>
      <c r="N36" s="256"/>
      <c r="O36" s="255"/>
      <c r="P36" s="258"/>
      <c r="Q36" s="255"/>
      <c r="R36" s="255"/>
      <c r="S36" s="255"/>
      <c r="T36" s="255"/>
      <c r="U36" s="255"/>
      <c r="V36" s="255"/>
    </row>
    <row r="37" spans="1:22" ht="23.25" customHeight="1">
      <c r="A37" s="251">
        <v>34</v>
      </c>
      <c r="B37" s="251"/>
      <c r="C37" s="252"/>
      <c r="D37" s="24"/>
      <c r="E37" s="253"/>
      <c r="F37" s="255"/>
      <c r="G37" s="255"/>
      <c r="H37" s="255"/>
      <c r="I37" s="255"/>
      <c r="J37" s="255"/>
      <c r="K37" s="255"/>
      <c r="L37" s="255"/>
      <c r="M37" s="255"/>
      <c r="N37" s="256"/>
      <c r="O37" s="255"/>
      <c r="P37" s="258"/>
      <c r="Q37" s="255"/>
      <c r="R37" s="255"/>
      <c r="S37" s="255"/>
      <c r="T37" s="255"/>
      <c r="U37" s="255"/>
      <c r="V37" s="255"/>
    </row>
    <row r="38" spans="1:22" ht="23.25" customHeight="1">
      <c r="A38" s="251">
        <v>35</v>
      </c>
      <c r="B38" s="251"/>
      <c r="C38" s="252"/>
      <c r="D38" s="24"/>
      <c r="E38" s="253"/>
      <c r="F38" s="255"/>
      <c r="G38" s="255"/>
      <c r="H38" s="255"/>
      <c r="I38" s="255"/>
      <c r="J38" s="255"/>
      <c r="K38" s="255"/>
      <c r="L38" s="255"/>
      <c r="M38" s="255"/>
      <c r="N38" s="256"/>
      <c r="O38" s="255"/>
      <c r="P38" s="258"/>
      <c r="Q38" s="255"/>
      <c r="R38" s="255"/>
      <c r="S38" s="255"/>
      <c r="T38" s="255"/>
      <c r="U38" s="255"/>
      <c r="V38" s="255"/>
    </row>
    <row r="39" spans="1:22" ht="23.25" customHeight="1">
      <c r="A39" s="251">
        <v>36</v>
      </c>
      <c r="B39" s="251"/>
      <c r="C39" s="252"/>
      <c r="D39" s="24"/>
      <c r="E39" s="253"/>
      <c r="F39" s="255"/>
      <c r="G39" s="255"/>
      <c r="H39" s="255"/>
      <c r="I39" s="255"/>
      <c r="J39" s="255"/>
      <c r="K39" s="255"/>
      <c r="L39" s="255"/>
      <c r="M39" s="255"/>
      <c r="N39" s="256"/>
      <c r="O39" s="255"/>
      <c r="P39" s="258"/>
      <c r="Q39" s="255"/>
      <c r="R39" s="255"/>
      <c r="S39" s="255"/>
      <c r="T39" s="255"/>
      <c r="U39" s="255"/>
      <c r="V39" s="255"/>
    </row>
    <row r="40" spans="1:22" ht="23.25" customHeight="1">
      <c r="A40" s="251">
        <v>37</v>
      </c>
      <c r="B40" s="251"/>
      <c r="C40" s="252"/>
      <c r="D40" s="24"/>
      <c r="E40" s="253"/>
      <c r="F40" s="255"/>
      <c r="G40" s="255"/>
      <c r="H40" s="255"/>
      <c r="I40" s="255"/>
      <c r="J40" s="255"/>
      <c r="K40" s="255"/>
      <c r="L40" s="255"/>
      <c r="M40" s="255"/>
      <c r="N40" s="256"/>
      <c r="O40" s="255"/>
      <c r="P40" s="258"/>
      <c r="Q40" s="255"/>
      <c r="R40" s="255"/>
      <c r="S40" s="255"/>
      <c r="T40" s="255"/>
      <c r="U40" s="255"/>
      <c r="V40" s="255"/>
    </row>
    <row r="41" spans="1:22" ht="23.25" customHeight="1">
      <c r="A41" s="251">
        <v>38</v>
      </c>
      <c r="B41" s="251"/>
      <c r="C41" s="252"/>
      <c r="D41" s="24"/>
      <c r="E41" s="253"/>
      <c r="F41" s="255"/>
      <c r="G41" s="255"/>
      <c r="H41" s="255"/>
      <c r="I41" s="255"/>
      <c r="J41" s="255"/>
      <c r="K41" s="255"/>
      <c r="L41" s="255"/>
      <c r="M41" s="255"/>
      <c r="N41" s="256"/>
      <c r="O41" s="255"/>
      <c r="P41" s="258"/>
      <c r="Q41" s="255"/>
      <c r="R41" s="255"/>
      <c r="S41" s="255"/>
      <c r="T41" s="255"/>
      <c r="U41" s="255"/>
      <c r="V41" s="255"/>
    </row>
    <row r="42" spans="1:22" ht="23.25" customHeight="1">
      <c r="A42" s="251">
        <v>39</v>
      </c>
      <c r="B42" s="251"/>
      <c r="C42" s="252"/>
      <c r="D42" s="24"/>
      <c r="E42" s="253"/>
      <c r="F42" s="255"/>
      <c r="G42" s="255"/>
      <c r="H42" s="255"/>
      <c r="I42" s="255"/>
      <c r="J42" s="255"/>
      <c r="K42" s="255"/>
      <c r="L42" s="255"/>
      <c r="M42" s="255"/>
      <c r="N42" s="256"/>
      <c r="O42" s="255"/>
      <c r="P42" s="258"/>
      <c r="Q42" s="255"/>
      <c r="R42" s="255"/>
      <c r="S42" s="255"/>
      <c r="T42" s="255"/>
      <c r="U42" s="255"/>
      <c r="V42" s="255"/>
    </row>
    <row r="43" spans="1:22" ht="23.25" customHeight="1">
      <c r="A43" s="251">
        <v>40</v>
      </c>
      <c r="B43" s="251"/>
      <c r="C43" s="252"/>
      <c r="D43" s="24"/>
      <c r="E43" s="253"/>
      <c r="F43" s="255"/>
      <c r="G43" s="255"/>
      <c r="H43" s="255"/>
      <c r="I43" s="255"/>
      <c r="J43" s="255"/>
      <c r="K43" s="255"/>
      <c r="L43" s="255"/>
      <c r="M43" s="255"/>
      <c r="N43" s="256"/>
      <c r="O43" s="255"/>
      <c r="P43" s="258"/>
      <c r="Q43" s="255"/>
      <c r="R43" s="255"/>
      <c r="S43" s="255"/>
      <c r="T43" s="255"/>
      <c r="U43" s="255"/>
      <c r="V43" s="255"/>
    </row>
    <row r="44" spans="1:22" ht="23.25" customHeight="1">
      <c r="A44" s="251">
        <v>41</v>
      </c>
      <c r="B44" s="251"/>
      <c r="C44" s="252"/>
      <c r="D44" s="24"/>
      <c r="E44" s="253"/>
      <c r="F44" s="255"/>
      <c r="G44" s="255"/>
      <c r="H44" s="255"/>
      <c r="I44" s="255"/>
      <c r="J44" s="255"/>
      <c r="K44" s="255"/>
      <c r="L44" s="255"/>
      <c r="M44" s="255"/>
      <c r="N44" s="256"/>
      <c r="O44" s="255"/>
      <c r="P44" s="258"/>
      <c r="Q44" s="255"/>
      <c r="R44" s="255"/>
      <c r="S44" s="255"/>
      <c r="T44" s="255"/>
      <c r="U44" s="255"/>
      <c r="V44" s="255"/>
    </row>
    <row r="45" spans="1:22" ht="23.25" customHeight="1">
      <c r="A45" s="251">
        <v>42</v>
      </c>
      <c r="B45" s="251"/>
      <c r="C45" s="252"/>
      <c r="D45" s="24"/>
      <c r="E45" s="253"/>
      <c r="F45" s="255"/>
      <c r="G45" s="255"/>
      <c r="H45" s="255"/>
      <c r="I45" s="255"/>
      <c r="J45" s="255"/>
      <c r="K45" s="255"/>
      <c r="L45" s="255"/>
      <c r="M45" s="255"/>
      <c r="N45" s="256"/>
      <c r="O45" s="255"/>
      <c r="P45" s="258"/>
      <c r="Q45" s="255"/>
      <c r="R45" s="255"/>
      <c r="S45" s="255"/>
      <c r="T45" s="255"/>
      <c r="U45" s="255"/>
      <c r="V45" s="255"/>
    </row>
    <row r="46" spans="1:22" ht="23.25" customHeight="1">
      <c r="A46" s="251">
        <v>43</v>
      </c>
      <c r="B46" s="251"/>
      <c r="C46" s="252"/>
      <c r="D46" s="24"/>
      <c r="E46" s="253"/>
      <c r="F46" s="255"/>
      <c r="G46" s="255"/>
      <c r="H46" s="255"/>
      <c r="I46" s="255"/>
      <c r="J46" s="255"/>
      <c r="K46" s="255"/>
      <c r="L46" s="255"/>
      <c r="M46" s="255"/>
      <c r="N46" s="256"/>
      <c r="O46" s="255"/>
      <c r="P46" s="258"/>
      <c r="Q46" s="255"/>
      <c r="R46" s="255"/>
      <c r="S46" s="255"/>
      <c r="T46" s="255"/>
      <c r="U46" s="255"/>
      <c r="V46" s="255"/>
    </row>
    <row r="47" spans="1:22" ht="23.25" customHeight="1">
      <c r="A47" s="251">
        <v>44</v>
      </c>
      <c r="B47" s="251"/>
      <c r="C47" s="252"/>
      <c r="D47" s="24"/>
      <c r="E47" s="253"/>
      <c r="F47" s="255"/>
      <c r="G47" s="255"/>
      <c r="H47" s="255"/>
      <c r="I47" s="255"/>
      <c r="J47" s="255"/>
      <c r="K47" s="255"/>
      <c r="L47" s="255"/>
      <c r="M47" s="255"/>
      <c r="N47" s="256"/>
      <c r="O47" s="255"/>
      <c r="P47" s="258"/>
      <c r="Q47" s="255"/>
      <c r="R47" s="255"/>
      <c r="S47" s="255"/>
      <c r="T47" s="255"/>
      <c r="U47" s="255"/>
      <c r="V47" s="255"/>
    </row>
    <row r="48" spans="1:22" ht="23.25" customHeight="1">
      <c r="A48" s="251">
        <v>45</v>
      </c>
      <c r="B48" s="251"/>
      <c r="C48" s="252"/>
      <c r="D48" s="24"/>
      <c r="E48" s="253"/>
      <c r="F48" s="255"/>
      <c r="G48" s="255"/>
      <c r="H48" s="255"/>
      <c r="I48" s="255"/>
      <c r="J48" s="255"/>
      <c r="K48" s="255"/>
      <c r="L48" s="255"/>
      <c r="M48" s="255"/>
      <c r="N48" s="256"/>
      <c r="O48" s="255"/>
      <c r="P48" s="258"/>
      <c r="Q48" s="255"/>
      <c r="R48" s="255"/>
      <c r="S48" s="255"/>
      <c r="T48" s="255"/>
      <c r="U48" s="255"/>
      <c r="V48" s="255"/>
    </row>
    <row r="49" spans="1:22" ht="23.25" customHeight="1">
      <c r="A49" s="251">
        <v>46</v>
      </c>
      <c r="B49" s="251"/>
      <c r="C49" s="252"/>
      <c r="D49" s="24"/>
      <c r="E49" s="253"/>
      <c r="F49" s="255"/>
      <c r="G49" s="255"/>
      <c r="H49" s="255"/>
      <c r="I49" s="255"/>
      <c r="J49" s="255"/>
      <c r="K49" s="255"/>
      <c r="L49" s="255"/>
      <c r="M49" s="255"/>
      <c r="N49" s="256"/>
      <c r="O49" s="255"/>
      <c r="P49" s="258"/>
      <c r="Q49" s="255"/>
      <c r="R49" s="255"/>
      <c r="S49" s="255"/>
      <c r="T49" s="255"/>
      <c r="U49" s="255"/>
      <c r="V49" s="255"/>
    </row>
    <row r="50" spans="1:22" ht="23.25" customHeight="1">
      <c r="A50" s="251">
        <v>47</v>
      </c>
      <c r="B50" s="251"/>
      <c r="C50" s="24"/>
      <c r="D50" s="24"/>
      <c r="E50" s="259"/>
      <c r="F50" s="255"/>
      <c r="G50" s="255"/>
      <c r="H50" s="255"/>
      <c r="I50" s="255"/>
      <c r="J50" s="255"/>
      <c r="K50" s="255"/>
      <c r="L50" s="255"/>
      <c r="M50" s="255"/>
      <c r="N50" s="260"/>
      <c r="O50" s="255"/>
      <c r="P50" s="261"/>
      <c r="Q50" s="255"/>
      <c r="R50" s="255"/>
      <c r="S50" s="255"/>
      <c r="T50" s="255"/>
      <c r="U50" s="255"/>
      <c r="V50" s="255"/>
    </row>
    <row r="51" spans="1:22" ht="23.25" customHeight="1">
      <c r="A51" s="251">
        <v>48</v>
      </c>
      <c r="B51" s="251"/>
      <c r="C51" s="252"/>
      <c r="D51" s="24"/>
      <c r="E51" s="262"/>
      <c r="F51" s="255"/>
      <c r="G51" s="255"/>
      <c r="H51" s="255"/>
      <c r="I51" s="255"/>
      <c r="J51" s="255"/>
      <c r="K51" s="255"/>
      <c r="L51" s="255"/>
      <c r="M51" s="255"/>
      <c r="N51" s="263"/>
      <c r="O51" s="255"/>
      <c r="P51" s="258"/>
      <c r="Q51" s="255"/>
      <c r="R51" s="255"/>
      <c r="S51" s="255"/>
      <c r="T51" s="255"/>
      <c r="U51" s="255"/>
      <c r="V51" s="255"/>
    </row>
    <row r="52" spans="1:22" ht="23.25" customHeight="1">
      <c r="A52" s="251">
        <v>49</v>
      </c>
      <c r="B52" s="251"/>
      <c r="C52" s="24"/>
      <c r="D52" s="24"/>
      <c r="E52" s="259"/>
      <c r="F52" s="255"/>
      <c r="G52" s="255"/>
      <c r="H52" s="255"/>
      <c r="I52" s="255"/>
      <c r="J52" s="255"/>
      <c r="K52" s="255"/>
      <c r="L52" s="255"/>
      <c r="M52" s="255"/>
      <c r="N52" s="260"/>
      <c r="O52" s="255"/>
      <c r="P52" s="261"/>
      <c r="Q52" s="255"/>
      <c r="R52" s="255"/>
      <c r="S52" s="255"/>
      <c r="T52" s="255"/>
      <c r="U52" s="255"/>
      <c r="V52" s="255"/>
    </row>
    <row r="53" spans="1:22" ht="23.25" customHeight="1">
      <c r="A53" s="251">
        <v>50</v>
      </c>
      <c r="B53" s="251"/>
      <c r="C53" s="252"/>
      <c r="D53" s="24"/>
      <c r="E53" s="253"/>
      <c r="F53" s="255"/>
      <c r="G53" s="255"/>
      <c r="H53" s="255"/>
      <c r="I53" s="255"/>
      <c r="J53" s="255"/>
      <c r="K53" s="255"/>
      <c r="L53" s="255"/>
      <c r="M53" s="255"/>
      <c r="N53" s="256"/>
      <c r="O53" s="255"/>
      <c r="P53" s="258"/>
      <c r="Q53" s="255"/>
      <c r="R53" s="255"/>
      <c r="S53" s="255"/>
      <c r="T53" s="255"/>
      <c r="U53" s="255"/>
      <c r="V53" s="255"/>
    </row>
    <row r="54" spans="1:22" ht="23.25" customHeight="1">
      <c r="A54" s="251">
        <v>51</v>
      </c>
      <c r="B54" s="251"/>
      <c r="C54" s="252"/>
      <c r="D54" s="24"/>
      <c r="E54" s="253"/>
      <c r="F54" s="255"/>
      <c r="G54" s="255"/>
      <c r="H54" s="255"/>
      <c r="I54" s="255"/>
      <c r="J54" s="255"/>
      <c r="K54" s="255"/>
      <c r="L54" s="255"/>
      <c r="M54" s="255"/>
      <c r="N54" s="256"/>
      <c r="O54" s="255"/>
      <c r="P54" s="258"/>
      <c r="Q54" s="255"/>
      <c r="R54" s="255"/>
      <c r="S54" s="255"/>
      <c r="T54" s="255"/>
      <c r="U54" s="255"/>
      <c r="V54" s="255"/>
    </row>
    <row r="55" spans="1:22" ht="23.25" customHeight="1">
      <c r="A55" s="251">
        <v>52</v>
      </c>
      <c r="B55" s="251"/>
      <c r="C55" s="252"/>
      <c r="D55" s="24"/>
      <c r="E55" s="262"/>
      <c r="F55" s="255"/>
      <c r="G55" s="255"/>
      <c r="H55" s="255"/>
      <c r="I55" s="255"/>
      <c r="J55" s="255"/>
      <c r="K55" s="255"/>
      <c r="L55" s="255"/>
      <c r="M55" s="255"/>
      <c r="N55" s="256"/>
      <c r="O55" s="255"/>
      <c r="P55" s="258"/>
      <c r="Q55" s="255"/>
      <c r="R55" s="255"/>
      <c r="S55" s="255"/>
      <c r="T55" s="255"/>
      <c r="U55" s="255"/>
      <c r="V55" s="255"/>
    </row>
    <row r="56" spans="1:22" ht="23.25" customHeight="1">
      <c r="A56" s="251">
        <v>53</v>
      </c>
      <c r="B56" s="251"/>
      <c r="C56" s="24"/>
      <c r="D56" s="24"/>
      <c r="E56" s="259"/>
      <c r="F56" s="255"/>
      <c r="G56" s="255"/>
      <c r="H56" s="255"/>
      <c r="I56" s="255"/>
      <c r="J56" s="255"/>
      <c r="K56" s="255"/>
      <c r="L56" s="255"/>
      <c r="M56" s="255"/>
      <c r="N56" s="260"/>
      <c r="O56" s="255"/>
      <c r="P56" s="261"/>
      <c r="Q56" s="255"/>
      <c r="R56" s="255"/>
      <c r="S56" s="255"/>
      <c r="T56" s="255"/>
      <c r="U56" s="255"/>
      <c r="V56" s="255"/>
    </row>
    <row r="57" spans="1:22" ht="23.25" customHeight="1">
      <c r="A57" s="251">
        <v>54</v>
      </c>
      <c r="B57" s="251"/>
      <c r="C57" s="252"/>
      <c r="D57" s="24"/>
      <c r="E57" s="253"/>
      <c r="F57" s="255"/>
      <c r="G57" s="255"/>
      <c r="H57" s="255"/>
      <c r="I57" s="255"/>
      <c r="J57" s="255"/>
      <c r="K57" s="255"/>
      <c r="L57" s="255"/>
      <c r="M57" s="255"/>
      <c r="N57" s="256"/>
      <c r="O57" s="255"/>
      <c r="P57" s="258"/>
      <c r="Q57" s="255"/>
      <c r="R57" s="255"/>
      <c r="S57" s="255"/>
      <c r="T57" s="255"/>
      <c r="U57" s="255"/>
      <c r="V57" s="255"/>
    </row>
    <row r="58" spans="1:22" ht="23.25" customHeight="1">
      <c r="A58" s="251">
        <v>55</v>
      </c>
      <c r="B58" s="251"/>
      <c r="C58" s="264"/>
      <c r="D58" s="24"/>
      <c r="E58" s="265"/>
      <c r="F58" s="255"/>
      <c r="G58" s="255"/>
      <c r="H58" s="255"/>
      <c r="I58" s="255"/>
      <c r="J58" s="255"/>
      <c r="K58" s="255"/>
      <c r="L58" s="255"/>
      <c r="M58" s="255"/>
      <c r="N58" s="266"/>
      <c r="O58" s="255"/>
      <c r="P58" s="267"/>
      <c r="Q58" s="255"/>
      <c r="R58" s="255"/>
      <c r="S58" s="255"/>
      <c r="T58" s="255"/>
      <c r="U58" s="255"/>
      <c r="V58" s="255"/>
    </row>
    <row r="59" spans="1:22" ht="23.25" customHeight="1">
      <c r="A59" s="251">
        <v>56</v>
      </c>
      <c r="B59" s="251"/>
      <c r="C59" s="24"/>
      <c r="D59" s="24"/>
      <c r="E59" s="259"/>
      <c r="F59" s="255"/>
      <c r="G59" s="255"/>
      <c r="H59" s="255"/>
      <c r="I59" s="255"/>
      <c r="J59" s="255"/>
      <c r="K59" s="255"/>
      <c r="L59" s="255"/>
      <c r="M59" s="255"/>
      <c r="N59" s="260"/>
      <c r="O59" s="255"/>
      <c r="P59" s="261"/>
      <c r="Q59" s="255"/>
      <c r="R59" s="255"/>
      <c r="S59" s="255"/>
      <c r="T59" s="255"/>
      <c r="U59" s="255"/>
      <c r="V59" s="255"/>
    </row>
    <row r="60" spans="1:22" ht="23.25" customHeight="1">
      <c r="A60" s="251">
        <v>57</v>
      </c>
      <c r="B60" s="251"/>
      <c r="C60" s="252"/>
      <c r="D60" s="24"/>
      <c r="E60" s="253"/>
      <c r="F60" s="255"/>
      <c r="G60" s="255"/>
      <c r="H60" s="255"/>
      <c r="I60" s="255"/>
      <c r="J60" s="255"/>
      <c r="K60" s="255"/>
      <c r="L60" s="255"/>
      <c r="M60" s="255"/>
      <c r="N60" s="256"/>
      <c r="O60" s="255"/>
      <c r="P60" s="258"/>
      <c r="Q60" s="255"/>
      <c r="R60" s="255"/>
      <c r="S60" s="255"/>
      <c r="T60" s="255"/>
      <c r="U60" s="255"/>
      <c r="V60" s="255"/>
    </row>
    <row r="61" spans="1:22" ht="23.25" customHeight="1">
      <c r="A61" s="251">
        <v>58</v>
      </c>
      <c r="B61" s="251"/>
      <c r="C61" s="252"/>
      <c r="D61" s="24"/>
      <c r="E61" s="253"/>
      <c r="F61" s="255"/>
      <c r="G61" s="255"/>
      <c r="H61" s="255"/>
      <c r="I61" s="255"/>
      <c r="J61" s="255"/>
      <c r="K61" s="255"/>
      <c r="L61" s="255"/>
      <c r="M61" s="255"/>
      <c r="N61" s="256"/>
      <c r="O61" s="255"/>
      <c r="P61" s="258"/>
      <c r="Q61" s="255"/>
      <c r="R61" s="255"/>
      <c r="S61" s="255"/>
      <c r="T61" s="255"/>
      <c r="U61" s="255"/>
      <c r="V61" s="255"/>
    </row>
    <row r="62" spans="1:22" ht="23.25" customHeight="1">
      <c r="A62" s="251">
        <v>59</v>
      </c>
      <c r="B62" s="251"/>
      <c r="C62" s="252"/>
      <c r="D62" s="24"/>
      <c r="E62" s="253"/>
      <c r="F62" s="255"/>
      <c r="G62" s="255"/>
      <c r="H62" s="255"/>
      <c r="I62" s="255"/>
      <c r="J62" s="255"/>
      <c r="K62" s="255"/>
      <c r="L62" s="255"/>
      <c r="M62" s="255"/>
      <c r="N62" s="256"/>
      <c r="O62" s="255"/>
      <c r="P62" s="258"/>
      <c r="Q62" s="255"/>
      <c r="R62" s="255"/>
      <c r="S62" s="255"/>
      <c r="T62" s="255"/>
      <c r="U62" s="255"/>
      <c r="V62" s="255"/>
    </row>
    <row r="63" spans="1:22" ht="23.25" customHeight="1">
      <c r="A63" s="251">
        <v>60</v>
      </c>
      <c r="B63" s="251"/>
      <c r="C63" s="252"/>
      <c r="D63" s="24"/>
      <c r="E63" s="253"/>
      <c r="F63" s="255"/>
      <c r="G63" s="255"/>
      <c r="H63" s="255"/>
      <c r="I63" s="255"/>
      <c r="J63" s="255"/>
      <c r="K63" s="255"/>
      <c r="L63" s="255"/>
      <c r="M63" s="255"/>
      <c r="N63" s="256"/>
      <c r="O63" s="255"/>
      <c r="P63" s="258"/>
      <c r="Q63" s="255"/>
      <c r="R63" s="255"/>
      <c r="S63" s="255"/>
      <c r="T63" s="255"/>
      <c r="U63" s="255"/>
      <c r="V63" s="255"/>
    </row>
    <row r="64" spans="1:22" ht="23.25" customHeight="1">
      <c r="A64" s="251">
        <v>61</v>
      </c>
      <c r="B64" s="251"/>
      <c r="C64" s="252"/>
      <c r="D64" s="24"/>
      <c r="E64" s="253"/>
      <c r="F64" s="255"/>
      <c r="G64" s="255"/>
      <c r="H64" s="255"/>
      <c r="I64" s="255"/>
      <c r="J64" s="255"/>
      <c r="K64" s="255"/>
      <c r="L64" s="255"/>
      <c r="M64" s="255"/>
      <c r="N64" s="256"/>
      <c r="O64" s="255"/>
      <c r="P64" s="258"/>
      <c r="Q64" s="255"/>
      <c r="R64" s="255"/>
      <c r="S64" s="255"/>
      <c r="T64" s="255"/>
      <c r="U64" s="255"/>
      <c r="V64" s="255"/>
    </row>
    <row r="65" spans="1:22" ht="23.25" customHeight="1">
      <c r="A65" s="251">
        <v>62</v>
      </c>
      <c r="B65" s="251"/>
      <c r="C65" s="252"/>
      <c r="D65" s="24"/>
      <c r="E65" s="253"/>
      <c r="F65" s="255"/>
      <c r="G65" s="255"/>
      <c r="H65" s="255"/>
      <c r="I65" s="255"/>
      <c r="J65" s="255"/>
      <c r="K65" s="255"/>
      <c r="L65" s="255"/>
      <c r="M65" s="255"/>
      <c r="N65" s="256"/>
      <c r="O65" s="255"/>
      <c r="P65" s="258"/>
      <c r="Q65" s="255"/>
      <c r="R65" s="255"/>
      <c r="S65" s="255"/>
      <c r="T65" s="255"/>
      <c r="U65" s="255"/>
      <c r="V65" s="255"/>
    </row>
    <row r="66" spans="1:22" ht="23.25" customHeight="1">
      <c r="A66" s="251">
        <v>63</v>
      </c>
      <c r="B66" s="251"/>
      <c r="C66" s="252"/>
      <c r="D66" s="24"/>
      <c r="E66" s="253"/>
      <c r="F66" s="255"/>
      <c r="G66" s="255"/>
      <c r="H66" s="255"/>
      <c r="I66" s="255"/>
      <c r="J66" s="255"/>
      <c r="K66" s="255"/>
      <c r="L66" s="255"/>
      <c r="M66" s="255"/>
      <c r="N66" s="256"/>
      <c r="O66" s="255"/>
      <c r="P66" s="258"/>
      <c r="Q66" s="255"/>
      <c r="R66" s="255"/>
      <c r="S66" s="255"/>
      <c r="T66" s="255"/>
      <c r="U66" s="255"/>
      <c r="V66" s="255"/>
    </row>
    <row r="67" spans="1:22" ht="23.25" customHeight="1">
      <c r="A67" s="251">
        <v>64</v>
      </c>
      <c r="B67" s="251"/>
      <c r="C67" s="252"/>
      <c r="D67" s="24"/>
      <c r="E67" s="253"/>
      <c r="F67" s="255"/>
      <c r="G67" s="255"/>
      <c r="H67" s="255"/>
      <c r="I67" s="255"/>
      <c r="J67" s="255"/>
      <c r="K67" s="255"/>
      <c r="L67" s="255"/>
      <c r="M67" s="255"/>
      <c r="N67" s="256"/>
      <c r="O67" s="255"/>
      <c r="P67" s="258"/>
      <c r="Q67" s="255"/>
      <c r="R67" s="255"/>
      <c r="S67" s="255"/>
      <c r="T67" s="255"/>
      <c r="U67" s="255"/>
      <c r="V67" s="255"/>
    </row>
    <row r="68" spans="1:22" ht="23.25" customHeight="1">
      <c r="A68" s="251">
        <v>65</v>
      </c>
      <c r="B68" s="251"/>
      <c r="C68" s="252"/>
      <c r="D68" s="24"/>
      <c r="E68" s="253"/>
      <c r="F68" s="255"/>
      <c r="G68" s="255"/>
      <c r="H68" s="255"/>
      <c r="I68" s="255"/>
      <c r="J68" s="255"/>
      <c r="K68" s="255"/>
      <c r="L68" s="255"/>
      <c r="M68" s="255"/>
      <c r="N68" s="256"/>
      <c r="O68" s="255"/>
      <c r="P68" s="258"/>
      <c r="Q68" s="255"/>
      <c r="R68" s="255"/>
      <c r="S68" s="255"/>
      <c r="T68" s="255"/>
      <c r="U68" s="255"/>
      <c r="V68" s="255"/>
    </row>
  </sheetData>
  <mergeCells count="18">
    <mergeCell ref="V2:V3"/>
    <mergeCell ref="O2:O3"/>
    <mergeCell ref="L2:N2"/>
    <mergeCell ref="P2:P3"/>
    <mergeCell ref="Q2:Q3"/>
    <mergeCell ref="R2:R3"/>
    <mergeCell ref="S2:S3"/>
    <mergeCell ref="A1:U1"/>
    <mergeCell ref="A2:A3"/>
    <mergeCell ref="B2:B3"/>
    <mergeCell ref="C2:D3"/>
    <mergeCell ref="E2:E3"/>
    <mergeCell ref="F2:F3"/>
    <mergeCell ref="G2:G3"/>
    <mergeCell ref="H2:H3"/>
    <mergeCell ref="I2:K2"/>
    <mergeCell ref="T2:T3"/>
    <mergeCell ref="U2:U3"/>
  </mergeCells>
  <dataValidations count="2">
    <dataValidation type="list" allowBlank="1" showInputMessage="1" showErrorMessage="1" sqref="O4:O68">
      <formula1>"THPT, Trung cấp, Cao Đẳng, Đại học"</formula1>
    </dataValidation>
    <dataValidation type="list" allowBlank="1" showInputMessage="1" showErrorMessage="1" sqref="F4:F68">
      <formula1>"NAM,NỮ"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topLeftCell="A49" workbookViewId="0">
      <selection activeCell="I20" sqref="I20:I21"/>
    </sheetView>
  </sheetViews>
  <sheetFormatPr defaultRowHeight="15"/>
  <cols>
    <col min="1" max="1" width="4.5703125" style="1" customWidth="1"/>
    <col min="2" max="2" width="20.42578125" style="1" customWidth="1"/>
    <col min="3" max="3" width="8.28515625" style="1" customWidth="1"/>
    <col min="4" max="4" width="11" style="1" customWidth="1"/>
    <col min="5" max="5" width="17" style="42" customWidth="1"/>
    <col min="6" max="6" width="12.28515625" style="1" customWidth="1"/>
    <col min="7" max="7" width="13.5703125" style="1" customWidth="1"/>
    <col min="8" max="8" width="11.28515625" style="42" customWidth="1"/>
    <col min="9" max="9" width="28.5703125" style="111" customWidth="1"/>
    <col min="10" max="16384" width="9.140625" style="1"/>
  </cols>
  <sheetData>
    <row r="1" spans="1:9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  <c r="I1" s="106"/>
    </row>
    <row r="2" spans="1:9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  <c r="I2" s="106"/>
    </row>
    <row r="3" spans="1:9" ht="15.75" customHeight="1">
      <c r="A3" s="2"/>
      <c r="B3" s="3"/>
      <c r="C3" s="3"/>
      <c r="D3" s="3"/>
    </row>
    <row r="4" spans="1:9" ht="15.75" customHeight="1">
      <c r="A4" s="308" t="s">
        <v>10</v>
      </c>
      <c r="B4" s="308"/>
      <c r="C4" s="308"/>
      <c r="D4" s="308"/>
      <c r="E4" s="308"/>
      <c r="F4" s="308"/>
      <c r="G4" s="308"/>
      <c r="H4" s="308"/>
      <c r="I4" s="107"/>
    </row>
    <row r="5" spans="1:9" s="4" customFormat="1" ht="23.25" customHeight="1">
      <c r="A5" s="309" t="s">
        <v>1294</v>
      </c>
      <c r="B5" s="309"/>
      <c r="C5" s="309"/>
      <c r="D5" s="309"/>
      <c r="E5" s="309"/>
      <c r="F5" s="309"/>
      <c r="G5" s="309"/>
      <c r="H5" s="309"/>
      <c r="I5" s="108"/>
    </row>
    <row r="6" spans="1:9" s="8" customFormat="1" ht="45.75" customHeight="1">
      <c r="A6" s="5" t="s">
        <v>4</v>
      </c>
      <c r="B6" s="302" t="s">
        <v>5</v>
      </c>
      <c r="C6" s="303"/>
      <c r="D6" s="6" t="s">
        <v>6</v>
      </c>
      <c r="E6" s="304" t="s">
        <v>11</v>
      </c>
      <c r="F6" s="305"/>
      <c r="G6" s="20" t="s">
        <v>226</v>
      </c>
      <c r="H6" s="20" t="s">
        <v>186</v>
      </c>
      <c r="I6" s="109" t="s">
        <v>2203</v>
      </c>
    </row>
    <row r="7" spans="1:9" s="8" customFormat="1" ht="21" customHeight="1">
      <c r="A7" s="9">
        <f>ROW()-6</f>
        <v>1</v>
      </c>
      <c r="B7" s="21" t="s">
        <v>93</v>
      </c>
      <c r="C7" s="23" t="s">
        <v>94</v>
      </c>
      <c r="D7" s="12">
        <v>39600</v>
      </c>
      <c r="E7" s="35" t="s">
        <v>970</v>
      </c>
      <c r="F7" s="35" t="s">
        <v>573</v>
      </c>
      <c r="G7" s="17" t="s">
        <v>1001</v>
      </c>
      <c r="H7" s="13"/>
      <c r="I7" s="110" t="s">
        <v>2204</v>
      </c>
    </row>
    <row r="8" spans="1:9" s="8" customFormat="1" ht="21" customHeight="1">
      <c r="A8" s="9">
        <f t="shared" ref="A8:A55" si="0">ROW()-6</f>
        <v>2</v>
      </c>
      <c r="B8" s="21" t="s">
        <v>1219</v>
      </c>
      <c r="C8" s="23" t="s">
        <v>70</v>
      </c>
      <c r="D8" s="40" t="s">
        <v>1227</v>
      </c>
      <c r="E8" s="73" t="s">
        <v>1623</v>
      </c>
      <c r="F8" s="73" t="s">
        <v>541</v>
      </c>
      <c r="G8" s="74" t="s">
        <v>1631</v>
      </c>
      <c r="H8" s="49"/>
      <c r="I8" s="112" t="s">
        <v>2204</v>
      </c>
    </row>
    <row r="9" spans="1:9" s="8" customFormat="1" ht="21" customHeight="1">
      <c r="A9" s="9">
        <f t="shared" si="0"/>
        <v>3</v>
      </c>
      <c r="B9" s="21" t="s">
        <v>121</v>
      </c>
      <c r="C9" s="23" t="s">
        <v>2214</v>
      </c>
      <c r="D9" s="12">
        <v>39448</v>
      </c>
      <c r="E9" s="35" t="s">
        <v>1458</v>
      </c>
      <c r="F9" s="35" t="s">
        <v>573</v>
      </c>
      <c r="G9" s="17" t="s">
        <v>1459</v>
      </c>
      <c r="H9" s="13" t="s">
        <v>1457</v>
      </c>
      <c r="I9" s="110" t="s">
        <v>2204</v>
      </c>
    </row>
    <row r="10" spans="1:9" s="8" customFormat="1" ht="21" customHeight="1">
      <c r="A10" s="9">
        <f t="shared" si="0"/>
        <v>4</v>
      </c>
      <c r="B10" s="21" t="s">
        <v>522</v>
      </c>
      <c r="C10" s="23" t="s">
        <v>104</v>
      </c>
      <c r="D10" s="12">
        <v>39698</v>
      </c>
      <c r="E10" s="35" t="s">
        <v>616</v>
      </c>
      <c r="F10" s="35" t="s">
        <v>573</v>
      </c>
      <c r="G10" s="17" t="s">
        <v>1487</v>
      </c>
      <c r="H10" s="39"/>
      <c r="I10" s="110" t="s">
        <v>2204</v>
      </c>
    </row>
    <row r="11" spans="1:9" s="8" customFormat="1" ht="21" customHeight="1">
      <c r="A11" s="9">
        <f t="shared" si="0"/>
        <v>5</v>
      </c>
      <c r="B11" s="21" t="s">
        <v>103</v>
      </c>
      <c r="C11" s="23" t="s">
        <v>104</v>
      </c>
      <c r="D11" s="12">
        <v>39652</v>
      </c>
      <c r="E11" s="35" t="s">
        <v>848</v>
      </c>
      <c r="F11" s="35" t="s">
        <v>544</v>
      </c>
      <c r="G11" s="17" t="s">
        <v>987</v>
      </c>
      <c r="H11" s="13" t="s">
        <v>1462</v>
      </c>
      <c r="I11" s="110" t="s">
        <v>2204</v>
      </c>
    </row>
    <row r="12" spans="1:9" s="8" customFormat="1" ht="21" customHeight="1">
      <c r="A12" s="9">
        <f t="shared" si="0"/>
        <v>6</v>
      </c>
      <c r="B12" s="21" t="s">
        <v>43</v>
      </c>
      <c r="C12" s="23" t="s">
        <v>25</v>
      </c>
      <c r="D12" s="12">
        <v>39663</v>
      </c>
      <c r="E12" s="35" t="s">
        <v>653</v>
      </c>
      <c r="F12" s="35" t="s">
        <v>544</v>
      </c>
      <c r="G12" s="17" t="s">
        <v>1439</v>
      </c>
      <c r="H12" s="13"/>
      <c r="I12" s="110" t="s">
        <v>2204</v>
      </c>
    </row>
    <row r="13" spans="1:9" s="8" customFormat="1" ht="21" customHeight="1">
      <c r="A13" s="9">
        <f t="shared" si="0"/>
        <v>7</v>
      </c>
      <c r="B13" s="21" t="s">
        <v>24</v>
      </c>
      <c r="C13" s="23" t="s">
        <v>25</v>
      </c>
      <c r="D13" s="12">
        <v>39516</v>
      </c>
      <c r="E13" s="35" t="s">
        <v>579</v>
      </c>
      <c r="F13" s="35" t="s">
        <v>541</v>
      </c>
      <c r="G13" s="17" t="s">
        <v>1463</v>
      </c>
      <c r="H13" s="13" t="s">
        <v>1462</v>
      </c>
      <c r="I13" s="110" t="s">
        <v>2204</v>
      </c>
    </row>
    <row r="14" spans="1:9" s="8" customFormat="1" ht="21" customHeight="1">
      <c r="A14" s="9">
        <f t="shared" si="0"/>
        <v>8</v>
      </c>
      <c r="B14" s="21" t="s">
        <v>1221</v>
      </c>
      <c r="C14" s="23" t="s">
        <v>66</v>
      </c>
      <c r="D14" s="40" t="s">
        <v>1229</v>
      </c>
      <c r="E14" s="73" t="s">
        <v>573</v>
      </c>
      <c r="F14" s="73" t="s">
        <v>573</v>
      </c>
      <c r="G14" s="74" t="s">
        <v>2210</v>
      </c>
      <c r="H14" s="49"/>
      <c r="I14" s="112" t="s">
        <v>2204</v>
      </c>
    </row>
    <row r="15" spans="1:9" s="8" customFormat="1" ht="21" customHeight="1">
      <c r="A15" s="9">
        <f t="shared" si="0"/>
        <v>9</v>
      </c>
      <c r="B15" s="21" t="s">
        <v>1269</v>
      </c>
      <c r="C15" s="23" t="s">
        <v>27</v>
      </c>
      <c r="D15" s="40" t="s">
        <v>1268</v>
      </c>
      <c r="E15" s="73" t="s">
        <v>1011</v>
      </c>
      <c r="F15" s="73" t="s">
        <v>556</v>
      </c>
      <c r="G15" s="74" t="s">
        <v>1632</v>
      </c>
      <c r="H15" s="49"/>
      <c r="I15" s="112" t="s">
        <v>2204</v>
      </c>
    </row>
    <row r="16" spans="1:9" s="8" customFormat="1" ht="21" customHeight="1">
      <c r="A16" s="9">
        <f t="shared" si="0"/>
        <v>10</v>
      </c>
      <c r="B16" s="21" t="s">
        <v>12</v>
      </c>
      <c r="C16" s="23" t="s">
        <v>27</v>
      </c>
      <c r="D16" s="12">
        <v>39508</v>
      </c>
      <c r="E16" s="35" t="s">
        <v>560</v>
      </c>
      <c r="F16" s="35" t="s">
        <v>541</v>
      </c>
      <c r="G16" s="17" t="s">
        <v>1605</v>
      </c>
      <c r="H16" s="49" t="s">
        <v>1626</v>
      </c>
      <c r="I16" s="112" t="s">
        <v>2204</v>
      </c>
    </row>
    <row r="17" spans="1:9" s="8" customFormat="1" ht="21" customHeight="1">
      <c r="A17" s="9">
        <f t="shared" si="0"/>
        <v>11</v>
      </c>
      <c r="B17" s="21" t="s">
        <v>1215</v>
      </c>
      <c r="C17" s="23" t="s">
        <v>271</v>
      </c>
      <c r="D17" s="40" t="s">
        <v>1224</v>
      </c>
      <c r="E17" s="73" t="s">
        <v>1011</v>
      </c>
      <c r="F17" s="73" t="s">
        <v>556</v>
      </c>
      <c r="G17" s="74" t="s">
        <v>2211</v>
      </c>
      <c r="H17" s="49" t="s">
        <v>1521</v>
      </c>
      <c r="I17" s="112" t="s">
        <v>2204</v>
      </c>
    </row>
    <row r="18" spans="1:9" s="8" customFormat="1" ht="21" customHeight="1">
      <c r="A18" s="9">
        <f t="shared" si="0"/>
        <v>12</v>
      </c>
      <c r="B18" s="21" t="s">
        <v>41</v>
      </c>
      <c r="C18" s="23" t="s">
        <v>42</v>
      </c>
      <c r="D18" s="12">
        <v>39545</v>
      </c>
      <c r="E18" s="35" t="s">
        <v>1057</v>
      </c>
      <c r="F18" s="35" t="s">
        <v>544</v>
      </c>
      <c r="G18" s="17" t="s">
        <v>1633</v>
      </c>
      <c r="H18" s="13"/>
      <c r="I18" s="112" t="s">
        <v>2204</v>
      </c>
    </row>
    <row r="19" spans="1:9" s="8" customFormat="1" ht="21" customHeight="1">
      <c r="A19" s="9">
        <f t="shared" si="0"/>
        <v>13</v>
      </c>
      <c r="B19" s="21" t="s">
        <v>524</v>
      </c>
      <c r="C19" s="23" t="s">
        <v>520</v>
      </c>
      <c r="D19" s="12">
        <v>39779</v>
      </c>
      <c r="E19" s="35" t="s">
        <v>616</v>
      </c>
      <c r="F19" s="35" t="s">
        <v>573</v>
      </c>
      <c r="G19" s="17" t="s">
        <v>1488</v>
      </c>
      <c r="H19" s="39"/>
      <c r="I19" s="113" t="s">
        <v>2204</v>
      </c>
    </row>
    <row r="20" spans="1:9" s="8" customFormat="1" ht="21" customHeight="1">
      <c r="A20" s="9">
        <f t="shared" si="0"/>
        <v>14</v>
      </c>
      <c r="B20" s="21" t="s">
        <v>152</v>
      </c>
      <c r="C20" s="23" t="s">
        <v>17</v>
      </c>
      <c r="D20" s="12">
        <v>39632</v>
      </c>
      <c r="E20" s="35" t="s">
        <v>630</v>
      </c>
      <c r="F20" s="35" t="s">
        <v>541</v>
      </c>
      <c r="G20" s="17" t="s">
        <v>636</v>
      </c>
      <c r="H20" s="13"/>
      <c r="I20" s="113" t="s">
        <v>2204</v>
      </c>
    </row>
    <row r="21" spans="1:9" s="8" customFormat="1" ht="21" customHeight="1">
      <c r="A21" s="9">
        <f t="shared" si="0"/>
        <v>15</v>
      </c>
      <c r="B21" s="21" t="s">
        <v>523</v>
      </c>
      <c r="C21" s="23" t="s">
        <v>17</v>
      </c>
      <c r="D21" s="12">
        <v>39774</v>
      </c>
      <c r="E21" s="35" t="s">
        <v>616</v>
      </c>
      <c r="F21" s="35" t="s">
        <v>573</v>
      </c>
      <c r="G21" s="17" t="s">
        <v>1489</v>
      </c>
      <c r="H21" s="49"/>
      <c r="I21" s="113" t="s">
        <v>2204</v>
      </c>
    </row>
    <row r="22" spans="1:9" s="8" customFormat="1" ht="21" customHeight="1">
      <c r="A22" s="9">
        <f t="shared" si="0"/>
        <v>16</v>
      </c>
      <c r="B22" s="21" t="s">
        <v>122</v>
      </c>
      <c r="C22" s="23" t="s">
        <v>123</v>
      </c>
      <c r="D22" s="12">
        <v>39480</v>
      </c>
      <c r="E22" s="35" t="s">
        <v>1490</v>
      </c>
      <c r="F22" s="35" t="s">
        <v>573</v>
      </c>
      <c r="G22" s="17" t="s">
        <v>1634</v>
      </c>
      <c r="H22" s="13"/>
      <c r="I22" s="112" t="s">
        <v>2204</v>
      </c>
    </row>
    <row r="23" spans="1:9" s="8" customFormat="1" ht="21" customHeight="1">
      <c r="A23" s="9">
        <f t="shared" si="0"/>
        <v>17</v>
      </c>
      <c r="B23" s="21" t="s">
        <v>177</v>
      </c>
      <c r="C23" s="23" t="s">
        <v>128</v>
      </c>
      <c r="D23" s="12">
        <v>39704</v>
      </c>
      <c r="E23" s="35" t="s">
        <v>637</v>
      </c>
      <c r="F23" s="35" t="s">
        <v>541</v>
      </c>
      <c r="G23" s="17" t="s">
        <v>638</v>
      </c>
      <c r="H23" s="49"/>
      <c r="I23" s="112" t="s">
        <v>2204</v>
      </c>
    </row>
    <row r="24" spans="1:9" s="8" customFormat="1" ht="21" customHeight="1">
      <c r="A24" s="9">
        <f t="shared" si="0"/>
        <v>18</v>
      </c>
      <c r="B24" s="21" t="s">
        <v>57</v>
      </c>
      <c r="C24" s="23" t="s">
        <v>58</v>
      </c>
      <c r="D24" s="12">
        <v>39711</v>
      </c>
      <c r="E24" s="35" t="s">
        <v>595</v>
      </c>
      <c r="F24" s="35" t="s">
        <v>541</v>
      </c>
      <c r="G24" s="17" t="s">
        <v>640</v>
      </c>
      <c r="H24" s="49"/>
      <c r="I24" s="112" t="s">
        <v>2204</v>
      </c>
    </row>
    <row r="25" spans="1:9" s="8" customFormat="1" ht="21" customHeight="1">
      <c r="A25" s="9">
        <f t="shared" si="0"/>
        <v>19</v>
      </c>
      <c r="B25" s="21" t="s">
        <v>178</v>
      </c>
      <c r="C25" s="23" t="s">
        <v>179</v>
      </c>
      <c r="D25" s="12">
        <v>39210</v>
      </c>
      <c r="E25" s="35" t="s">
        <v>648</v>
      </c>
      <c r="F25" s="35" t="s">
        <v>556</v>
      </c>
      <c r="G25" s="17" t="s">
        <v>642</v>
      </c>
      <c r="H25" s="49" t="s">
        <v>1457</v>
      </c>
      <c r="I25" s="112" t="s">
        <v>2204</v>
      </c>
    </row>
    <row r="26" spans="1:9" s="8" customFormat="1" ht="21" customHeight="1">
      <c r="A26" s="9">
        <f t="shared" si="0"/>
        <v>20</v>
      </c>
      <c r="B26" s="21" t="s">
        <v>1083</v>
      </c>
      <c r="C26" s="23" t="s">
        <v>294</v>
      </c>
      <c r="D26" s="12" t="s">
        <v>949</v>
      </c>
      <c r="E26" s="73" t="s">
        <v>626</v>
      </c>
      <c r="F26" s="73" t="s">
        <v>541</v>
      </c>
      <c r="G26" s="74" t="s">
        <v>1635</v>
      </c>
      <c r="H26" s="49"/>
      <c r="I26" s="112" t="s">
        <v>2204</v>
      </c>
    </row>
    <row r="27" spans="1:9" s="8" customFormat="1" ht="21" customHeight="1">
      <c r="A27" s="9">
        <f t="shared" si="0"/>
        <v>21</v>
      </c>
      <c r="B27" s="21" t="s">
        <v>1324</v>
      </c>
      <c r="C27" s="23" t="s">
        <v>188</v>
      </c>
      <c r="D27" s="40" t="s">
        <v>1331</v>
      </c>
      <c r="E27" s="35" t="s">
        <v>711</v>
      </c>
      <c r="F27" s="35" t="s">
        <v>541</v>
      </c>
      <c r="G27" s="17" t="s">
        <v>1460</v>
      </c>
      <c r="H27" s="49" t="s">
        <v>1461</v>
      </c>
      <c r="I27" s="112" t="s">
        <v>2204</v>
      </c>
    </row>
    <row r="28" spans="1:9" s="8" customFormat="1" ht="21" customHeight="1">
      <c r="A28" s="9">
        <f t="shared" si="0"/>
        <v>22</v>
      </c>
      <c r="B28" s="59" t="s">
        <v>1125</v>
      </c>
      <c r="C28" s="60" t="s">
        <v>90</v>
      </c>
      <c r="D28" s="61">
        <v>39747</v>
      </c>
      <c r="E28" s="62" t="s">
        <v>3523</v>
      </c>
      <c r="F28" s="62" t="s">
        <v>556</v>
      </c>
      <c r="G28" s="63" t="s">
        <v>1465</v>
      </c>
      <c r="H28" s="64"/>
      <c r="I28" s="114" t="s">
        <v>2204</v>
      </c>
    </row>
    <row r="29" spans="1:9" s="8" customFormat="1" ht="21" customHeight="1">
      <c r="A29" s="9">
        <f t="shared" si="0"/>
        <v>23</v>
      </c>
      <c r="B29" s="21" t="s">
        <v>89</v>
      </c>
      <c r="C29" s="23" t="s">
        <v>90</v>
      </c>
      <c r="D29" s="34">
        <v>39548</v>
      </c>
      <c r="E29" s="35" t="s">
        <v>970</v>
      </c>
      <c r="F29" s="35" t="s">
        <v>573</v>
      </c>
      <c r="G29" s="17" t="s">
        <v>971</v>
      </c>
      <c r="H29" s="49" t="s">
        <v>1521</v>
      </c>
      <c r="I29" s="112" t="s">
        <v>2204</v>
      </c>
    </row>
    <row r="30" spans="1:9" s="8" customFormat="1" ht="21" customHeight="1">
      <c r="A30" s="9">
        <f t="shared" si="0"/>
        <v>24</v>
      </c>
      <c r="B30" s="21" t="s">
        <v>1085</v>
      </c>
      <c r="C30" s="23" t="s">
        <v>441</v>
      </c>
      <c r="D30" s="12" t="s">
        <v>950</v>
      </c>
      <c r="E30" s="73" t="s">
        <v>1636</v>
      </c>
      <c r="F30" s="73" t="s">
        <v>541</v>
      </c>
      <c r="G30" s="74" t="s">
        <v>1637</v>
      </c>
      <c r="H30" s="49"/>
      <c r="I30" s="112" t="s">
        <v>2204</v>
      </c>
    </row>
    <row r="31" spans="1:9" s="8" customFormat="1" ht="21" customHeight="1">
      <c r="A31" s="9">
        <f t="shared" si="0"/>
        <v>25</v>
      </c>
      <c r="B31" s="21" t="s">
        <v>99</v>
      </c>
      <c r="C31" s="23" t="s">
        <v>100</v>
      </c>
      <c r="D31" s="12">
        <v>39535</v>
      </c>
      <c r="E31" s="35" t="s">
        <v>630</v>
      </c>
      <c r="F31" s="35" t="s">
        <v>541</v>
      </c>
      <c r="G31" s="17" t="s">
        <v>652</v>
      </c>
      <c r="H31" s="49" t="s">
        <v>578</v>
      </c>
      <c r="I31" s="112" t="s">
        <v>2204</v>
      </c>
    </row>
    <row r="32" spans="1:9" s="8" customFormat="1" ht="21" customHeight="1">
      <c r="A32" s="9">
        <f t="shared" si="0"/>
        <v>26</v>
      </c>
      <c r="B32" s="21" t="s">
        <v>1568</v>
      </c>
      <c r="C32" s="23" t="s">
        <v>74</v>
      </c>
      <c r="D32" s="34" t="s">
        <v>1189</v>
      </c>
      <c r="E32" s="35" t="s">
        <v>1623</v>
      </c>
      <c r="F32" s="35" t="s">
        <v>541</v>
      </c>
      <c r="G32" s="17" t="s">
        <v>1625</v>
      </c>
      <c r="H32" s="49" t="s">
        <v>1626</v>
      </c>
      <c r="I32" s="112" t="s">
        <v>2204</v>
      </c>
    </row>
    <row r="33" spans="1:17" s="8" customFormat="1" ht="21" customHeight="1">
      <c r="A33" s="9">
        <f t="shared" si="0"/>
        <v>27</v>
      </c>
      <c r="B33" s="21" t="s">
        <v>95</v>
      </c>
      <c r="C33" s="23" t="s">
        <v>96</v>
      </c>
      <c r="D33" s="12">
        <v>39560</v>
      </c>
      <c r="E33" s="35" t="s">
        <v>630</v>
      </c>
      <c r="F33" s="35" t="s">
        <v>541</v>
      </c>
      <c r="G33" s="17" t="s">
        <v>662</v>
      </c>
      <c r="H33" s="49"/>
      <c r="I33" s="112" t="s">
        <v>2204</v>
      </c>
    </row>
    <row r="34" spans="1:17" s="8" customFormat="1" ht="21" customHeight="1">
      <c r="A34" s="9">
        <f t="shared" si="0"/>
        <v>28</v>
      </c>
      <c r="B34" s="21" t="s">
        <v>39</v>
      </c>
      <c r="C34" s="23" t="s">
        <v>172</v>
      </c>
      <c r="D34" s="12">
        <v>39514</v>
      </c>
      <c r="E34" s="35" t="s">
        <v>664</v>
      </c>
      <c r="F34" s="35" t="s">
        <v>541</v>
      </c>
      <c r="G34" s="17" t="s">
        <v>667</v>
      </c>
      <c r="H34" s="49"/>
      <c r="I34" s="112" t="s">
        <v>2204</v>
      </c>
    </row>
    <row r="35" spans="1:17" s="8" customFormat="1" ht="21" customHeight="1">
      <c r="A35" s="9">
        <f t="shared" si="0"/>
        <v>29</v>
      </c>
      <c r="B35" s="21" t="s">
        <v>524</v>
      </c>
      <c r="C35" s="23" t="s">
        <v>19</v>
      </c>
      <c r="D35" s="12" t="s">
        <v>1088</v>
      </c>
      <c r="E35" s="35" t="s">
        <v>2141</v>
      </c>
      <c r="F35" s="35" t="s">
        <v>573</v>
      </c>
      <c r="G35" s="17" t="s">
        <v>1360</v>
      </c>
      <c r="H35" s="39" t="s">
        <v>567</v>
      </c>
      <c r="I35" s="113" t="s">
        <v>2204</v>
      </c>
    </row>
    <row r="36" spans="1:17" s="8" customFormat="1" ht="21" customHeight="1">
      <c r="A36" s="9">
        <f t="shared" si="0"/>
        <v>30</v>
      </c>
      <c r="B36" s="21" t="s">
        <v>171</v>
      </c>
      <c r="C36" s="23" t="s">
        <v>64</v>
      </c>
      <c r="D36" s="12">
        <v>39552</v>
      </c>
      <c r="E36" s="35" t="s">
        <v>705</v>
      </c>
      <c r="F36" s="35" t="s">
        <v>541</v>
      </c>
      <c r="G36" s="17" t="s">
        <v>975</v>
      </c>
      <c r="H36" s="49"/>
      <c r="I36" s="112" t="s">
        <v>2204</v>
      </c>
    </row>
    <row r="37" spans="1:17" s="8" customFormat="1" ht="21" customHeight="1">
      <c r="A37" s="9">
        <f t="shared" si="0"/>
        <v>31</v>
      </c>
      <c r="B37" s="21" t="s">
        <v>170</v>
      </c>
      <c r="C37" s="23" t="s">
        <v>159</v>
      </c>
      <c r="D37" s="12">
        <v>39096</v>
      </c>
      <c r="E37" s="35" t="s">
        <v>629</v>
      </c>
      <c r="F37" s="35" t="s">
        <v>541</v>
      </c>
      <c r="G37" s="17" t="s">
        <v>974</v>
      </c>
      <c r="H37" s="49"/>
      <c r="I37" s="112" t="s">
        <v>2204</v>
      </c>
      <c r="Q37" s="288" t="s">
        <v>3440</v>
      </c>
    </row>
    <row r="38" spans="1:17" s="8" customFormat="1" ht="21" customHeight="1">
      <c r="A38" s="9">
        <f t="shared" si="0"/>
        <v>32</v>
      </c>
      <c r="B38" s="21" t="s">
        <v>95</v>
      </c>
      <c r="C38" s="23" t="s">
        <v>98</v>
      </c>
      <c r="D38" s="12">
        <v>39681</v>
      </c>
      <c r="E38" s="35" t="s">
        <v>628</v>
      </c>
      <c r="F38" s="35" t="s">
        <v>631</v>
      </c>
      <c r="G38" s="17" t="s">
        <v>964</v>
      </c>
      <c r="H38" s="49"/>
      <c r="I38" s="112" t="s">
        <v>2204</v>
      </c>
    </row>
    <row r="39" spans="1:17" s="8" customFormat="1" ht="21" customHeight="1">
      <c r="A39" s="9">
        <f t="shared" si="0"/>
        <v>33</v>
      </c>
      <c r="B39" s="21" t="s">
        <v>1086</v>
      </c>
      <c r="C39" s="23" t="s">
        <v>31</v>
      </c>
      <c r="D39" s="12" t="s">
        <v>951</v>
      </c>
      <c r="E39" s="35" t="s">
        <v>1638</v>
      </c>
      <c r="F39" s="35" t="s">
        <v>541</v>
      </c>
      <c r="G39" s="17" t="s">
        <v>1639</v>
      </c>
      <c r="H39" s="49"/>
      <c r="I39" s="112" t="s">
        <v>2205</v>
      </c>
    </row>
    <row r="40" spans="1:17" s="8" customFormat="1" ht="21" customHeight="1">
      <c r="A40" s="9">
        <f t="shared" si="0"/>
        <v>34</v>
      </c>
      <c r="B40" s="21" t="s">
        <v>12</v>
      </c>
      <c r="C40" s="23" t="s">
        <v>151</v>
      </c>
      <c r="D40" s="12">
        <v>39678</v>
      </c>
      <c r="E40" s="35" t="s">
        <v>573</v>
      </c>
      <c r="F40" s="35" t="s">
        <v>573</v>
      </c>
      <c r="G40" s="17" t="s">
        <v>678</v>
      </c>
      <c r="H40" s="94"/>
      <c r="I40" s="115" t="s">
        <v>2204</v>
      </c>
    </row>
    <row r="41" spans="1:17" s="8" customFormat="1" ht="21" customHeight="1">
      <c r="A41" s="9">
        <f t="shared" si="0"/>
        <v>35</v>
      </c>
      <c r="B41" s="21" t="s">
        <v>85</v>
      </c>
      <c r="C41" s="23" t="s">
        <v>86</v>
      </c>
      <c r="D41" s="12">
        <v>39110</v>
      </c>
      <c r="E41" s="35" t="s">
        <v>554</v>
      </c>
      <c r="F41" s="35" t="s">
        <v>544</v>
      </c>
      <c r="G41" s="17" t="s">
        <v>983</v>
      </c>
      <c r="H41" s="49"/>
      <c r="I41" s="115" t="s">
        <v>2204</v>
      </c>
    </row>
    <row r="42" spans="1:17" s="8" customFormat="1" ht="21" customHeight="1">
      <c r="A42" s="9">
        <f t="shared" si="0"/>
        <v>36</v>
      </c>
      <c r="B42" s="21" t="s">
        <v>528</v>
      </c>
      <c r="C42" s="23" t="s">
        <v>68</v>
      </c>
      <c r="D42" s="12" t="s">
        <v>1089</v>
      </c>
      <c r="E42" s="35" t="s">
        <v>2141</v>
      </c>
      <c r="F42" s="35" t="s">
        <v>573</v>
      </c>
      <c r="G42" s="17" t="s">
        <v>2142</v>
      </c>
      <c r="H42" s="49"/>
      <c r="I42" s="112" t="s">
        <v>2204</v>
      </c>
    </row>
    <row r="43" spans="1:17" s="8" customFormat="1" ht="24" customHeight="1">
      <c r="A43" s="9">
        <f t="shared" si="0"/>
        <v>37</v>
      </c>
      <c r="B43" s="21" t="s">
        <v>1222</v>
      </c>
      <c r="C43" s="23" t="s">
        <v>40</v>
      </c>
      <c r="D43" s="12" t="s">
        <v>1230</v>
      </c>
      <c r="E43" s="35" t="s">
        <v>2212</v>
      </c>
      <c r="F43" s="35" t="s">
        <v>544</v>
      </c>
      <c r="G43" s="17" t="s">
        <v>2213</v>
      </c>
      <c r="H43" s="72"/>
      <c r="I43" s="112" t="s">
        <v>2204</v>
      </c>
    </row>
    <row r="44" spans="1:17" s="8" customFormat="1" ht="24" customHeight="1">
      <c r="A44" s="9">
        <f t="shared" si="0"/>
        <v>38</v>
      </c>
      <c r="B44" s="21" t="s">
        <v>18</v>
      </c>
      <c r="C44" s="104" t="s">
        <v>101</v>
      </c>
      <c r="D44" s="34">
        <v>39351</v>
      </c>
      <c r="E44" s="35" t="s">
        <v>970</v>
      </c>
      <c r="F44" s="35" t="s">
        <v>573</v>
      </c>
      <c r="G44" s="17" t="s">
        <v>986</v>
      </c>
      <c r="H44" s="72" t="s">
        <v>1653</v>
      </c>
      <c r="I44" s="112" t="s">
        <v>2204</v>
      </c>
    </row>
    <row r="45" spans="1:17" s="8" customFormat="1" ht="24" customHeight="1">
      <c r="A45" s="9">
        <f t="shared" si="0"/>
        <v>39</v>
      </c>
      <c r="B45" s="21" t="s">
        <v>12</v>
      </c>
      <c r="C45" s="23" t="s">
        <v>13</v>
      </c>
      <c r="D45" s="12">
        <v>39538</v>
      </c>
      <c r="E45" s="35" t="s">
        <v>1640</v>
      </c>
      <c r="F45" s="35" t="s">
        <v>541</v>
      </c>
      <c r="G45" s="17" t="s">
        <v>1641</v>
      </c>
      <c r="H45" s="72"/>
      <c r="I45" s="112" t="s">
        <v>2204</v>
      </c>
    </row>
    <row r="46" spans="1:17" ht="24" customHeight="1">
      <c r="A46" s="9">
        <f t="shared" si="0"/>
        <v>40</v>
      </c>
      <c r="B46" s="21" t="s">
        <v>167</v>
      </c>
      <c r="C46" s="23" t="s">
        <v>168</v>
      </c>
      <c r="D46" s="12">
        <v>39707</v>
      </c>
      <c r="E46" s="35" t="s">
        <v>603</v>
      </c>
      <c r="F46" s="35" t="s">
        <v>541</v>
      </c>
      <c r="G46" s="17" t="s">
        <v>695</v>
      </c>
      <c r="H46" s="49"/>
      <c r="I46" s="112" t="s">
        <v>2204</v>
      </c>
    </row>
    <row r="47" spans="1:17" ht="24" customHeight="1">
      <c r="A47" s="9">
        <f t="shared" si="0"/>
        <v>41</v>
      </c>
      <c r="B47" s="21" t="s">
        <v>2807</v>
      </c>
      <c r="C47" s="23" t="s">
        <v>130</v>
      </c>
      <c r="D47" s="12">
        <v>39419</v>
      </c>
      <c r="E47" s="35" t="s">
        <v>787</v>
      </c>
      <c r="F47" s="35" t="s">
        <v>541</v>
      </c>
      <c r="G47" s="17" t="s">
        <v>2831</v>
      </c>
      <c r="H47" s="49" t="s">
        <v>2806</v>
      </c>
      <c r="I47" s="112" t="s">
        <v>2204</v>
      </c>
    </row>
    <row r="48" spans="1:17" ht="24" customHeight="1">
      <c r="A48" s="9">
        <f t="shared" si="0"/>
        <v>42</v>
      </c>
      <c r="B48" s="21" t="s">
        <v>2842</v>
      </c>
      <c r="C48" s="23" t="s">
        <v>1278</v>
      </c>
      <c r="D48" s="12">
        <v>39650</v>
      </c>
      <c r="E48" s="35" t="s">
        <v>862</v>
      </c>
      <c r="F48" s="35" t="s">
        <v>573</v>
      </c>
      <c r="G48" s="17" t="s">
        <v>3158</v>
      </c>
      <c r="H48" s="49" t="s">
        <v>2841</v>
      </c>
      <c r="I48" s="112" t="s">
        <v>2204</v>
      </c>
    </row>
    <row r="49" spans="1:10" ht="24" customHeight="1">
      <c r="A49" s="9">
        <f t="shared" si="0"/>
        <v>43</v>
      </c>
      <c r="B49" s="21" t="s">
        <v>1117</v>
      </c>
      <c r="C49" s="23" t="s">
        <v>21</v>
      </c>
      <c r="D49" s="12">
        <v>39711</v>
      </c>
      <c r="E49" s="35" t="s">
        <v>947</v>
      </c>
      <c r="F49" s="35" t="s">
        <v>541</v>
      </c>
      <c r="G49" s="17" t="s">
        <v>3099</v>
      </c>
      <c r="H49" s="49" t="s">
        <v>2954</v>
      </c>
      <c r="I49" s="112" t="s">
        <v>2204</v>
      </c>
    </row>
    <row r="50" spans="1:10" ht="24" customHeight="1">
      <c r="A50" s="9">
        <f t="shared" si="0"/>
        <v>44</v>
      </c>
      <c r="B50" s="21" t="s">
        <v>3050</v>
      </c>
      <c r="C50" s="23" t="s">
        <v>17</v>
      </c>
      <c r="D50" s="12">
        <v>39780</v>
      </c>
      <c r="E50" s="35" t="s">
        <v>1389</v>
      </c>
      <c r="F50" s="35" t="s">
        <v>541</v>
      </c>
      <c r="G50" s="17" t="s">
        <v>3102</v>
      </c>
      <c r="H50" s="49" t="s">
        <v>3048</v>
      </c>
      <c r="I50" s="112" t="s">
        <v>2204</v>
      </c>
      <c r="J50" s="1" t="str">
        <f>PROPER(C50)</f>
        <v>Hoàng</v>
      </c>
    </row>
    <row r="51" spans="1:10" ht="24" customHeight="1">
      <c r="A51" s="9">
        <f t="shared" si="0"/>
        <v>45</v>
      </c>
      <c r="B51" s="21" t="s">
        <v>3051</v>
      </c>
      <c r="C51" s="23" t="s">
        <v>2555</v>
      </c>
      <c r="D51" s="12" t="s">
        <v>2374</v>
      </c>
      <c r="E51" s="35" t="s">
        <v>972</v>
      </c>
      <c r="F51" s="35" t="s">
        <v>573</v>
      </c>
      <c r="G51" s="17" t="s">
        <v>3139</v>
      </c>
      <c r="H51" s="49" t="s">
        <v>3048</v>
      </c>
      <c r="I51" s="112" t="s">
        <v>2204</v>
      </c>
      <c r="J51" s="1" t="str">
        <f t="shared" ref="J51:J56" si="1">PROPER(C51)</f>
        <v>Văn</v>
      </c>
    </row>
    <row r="52" spans="1:10" ht="24" customHeight="1">
      <c r="A52" s="9">
        <f t="shared" si="0"/>
        <v>46</v>
      </c>
      <c r="B52" s="21" t="s">
        <v>3071</v>
      </c>
      <c r="C52" s="23" t="s">
        <v>27</v>
      </c>
      <c r="D52" s="12" t="s">
        <v>3072</v>
      </c>
      <c r="E52" s="35" t="s">
        <v>1783</v>
      </c>
      <c r="F52" s="35" t="s">
        <v>556</v>
      </c>
      <c r="G52" s="17" t="s">
        <v>3118</v>
      </c>
      <c r="H52" s="49" t="s">
        <v>3070</v>
      </c>
      <c r="I52" s="112" t="s">
        <v>2204</v>
      </c>
      <c r="J52" s="1" t="str">
        <f t="shared" si="1"/>
        <v>Duy</v>
      </c>
    </row>
    <row r="53" spans="1:10" ht="24" customHeight="1">
      <c r="A53" s="9">
        <f t="shared" si="0"/>
        <v>47</v>
      </c>
      <c r="B53" s="21" t="s">
        <v>1078</v>
      </c>
      <c r="C53" s="23" t="s">
        <v>72</v>
      </c>
      <c r="D53" s="12">
        <v>39685</v>
      </c>
      <c r="E53" s="35" t="s">
        <v>1648</v>
      </c>
      <c r="F53" s="35" t="s">
        <v>541</v>
      </c>
      <c r="G53" s="17" t="s">
        <v>3393</v>
      </c>
      <c r="H53" s="49" t="s">
        <v>3349</v>
      </c>
      <c r="I53" s="112" t="s">
        <v>2204</v>
      </c>
      <c r="J53" s="1" t="str">
        <f t="shared" si="1"/>
        <v>Nghĩa</v>
      </c>
    </row>
    <row r="54" spans="1:10" ht="24" customHeight="1">
      <c r="A54" s="9">
        <f t="shared" si="0"/>
        <v>48</v>
      </c>
      <c r="B54" s="21" t="s">
        <v>1191</v>
      </c>
      <c r="C54" s="23" t="s">
        <v>1278</v>
      </c>
      <c r="D54" s="12" t="s">
        <v>3403</v>
      </c>
      <c r="E54" s="35" t="s">
        <v>691</v>
      </c>
      <c r="F54" s="35" t="s">
        <v>541</v>
      </c>
      <c r="G54" s="17" t="s">
        <v>3407</v>
      </c>
      <c r="H54" s="49" t="s">
        <v>3387</v>
      </c>
      <c r="I54" s="112" t="s">
        <v>2204</v>
      </c>
      <c r="J54" s="1" t="str">
        <f t="shared" si="1"/>
        <v>Tuấn</v>
      </c>
    </row>
    <row r="55" spans="1:10" ht="24" customHeight="1">
      <c r="A55" s="9">
        <f t="shared" si="0"/>
        <v>49</v>
      </c>
      <c r="B55" s="21" t="s">
        <v>3402</v>
      </c>
      <c r="C55" s="23" t="s">
        <v>1425</v>
      </c>
      <c r="D55" s="12" t="s">
        <v>1097</v>
      </c>
      <c r="E55" s="35" t="s">
        <v>714</v>
      </c>
      <c r="F55" s="35" t="s">
        <v>541</v>
      </c>
      <c r="G55" s="17" t="s">
        <v>3408</v>
      </c>
      <c r="H55" s="49" t="s">
        <v>3387</v>
      </c>
      <c r="I55" s="105" t="s">
        <v>2208</v>
      </c>
      <c r="J55" s="1" t="str">
        <f t="shared" si="1"/>
        <v>Sơn</v>
      </c>
    </row>
    <row r="56" spans="1:10">
      <c r="J56" s="1" t="str">
        <f t="shared" si="1"/>
        <v/>
      </c>
    </row>
    <row r="62" spans="1:10">
      <c r="H62" s="42">
        <f>19+41+39+41+42+42+41</f>
        <v>265</v>
      </c>
    </row>
  </sheetData>
  <sortState ref="B7:J47">
    <sortCondition ref="C7:C47"/>
  </sortState>
  <mergeCells count="8">
    <mergeCell ref="B6:C6"/>
    <mergeCell ref="E6:F6"/>
    <mergeCell ref="A1:D1"/>
    <mergeCell ref="E1:H1"/>
    <mergeCell ref="A2:D2"/>
    <mergeCell ref="E2:H2"/>
    <mergeCell ref="A4:H4"/>
    <mergeCell ref="A5:H5"/>
  </mergeCells>
  <pageMargins left="0.2" right="0.2" top="0.4" bottom="0.38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opLeftCell="A41" workbookViewId="0">
      <selection activeCell="I49" sqref="I49"/>
    </sheetView>
  </sheetViews>
  <sheetFormatPr defaultRowHeight="15"/>
  <cols>
    <col min="1" max="1" width="4.5703125" style="1" customWidth="1"/>
    <col min="2" max="2" width="18" style="1" customWidth="1"/>
    <col min="3" max="3" width="8.28515625" style="1" customWidth="1"/>
    <col min="4" max="4" width="11" style="1" customWidth="1"/>
    <col min="5" max="5" width="19.85546875" style="42" customWidth="1"/>
    <col min="6" max="6" width="13.28515625" style="42" customWidth="1"/>
    <col min="7" max="7" width="12.85546875" style="42" customWidth="1"/>
    <col min="8" max="8" width="13.5703125" style="1" customWidth="1"/>
    <col min="9" max="9" width="35.28515625" style="111" customWidth="1"/>
    <col min="10" max="10" width="20.140625" style="42" customWidth="1"/>
    <col min="11" max="16384" width="9.140625" style="1"/>
  </cols>
  <sheetData>
    <row r="1" spans="1:10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  <c r="I1" s="106"/>
    </row>
    <row r="2" spans="1:10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  <c r="I2" s="106"/>
    </row>
    <row r="3" spans="1:10" ht="15.75" customHeight="1">
      <c r="A3" s="2"/>
      <c r="B3" s="3"/>
      <c r="C3" s="3"/>
      <c r="D3" s="3"/>
    </row>
    <row r="4" spans="1:10" ht="15.75" customHeight="1">
      <c r="A4" s="308" t="s">
        <v>10</v>
      </c>
      <c r="B4" s="308"/>
      <c r="C4" s="308"/>
      <c r="D4" s="308"/>
      <c r="E4" s="308"/>
      <c r="F4" s="308"/>
      <c r="G4" s="308"/>
      <c r="H4" s="308"/>
      <c r="I4" s="107"/>
    </row>
    <row r="5" spans="1:10" s="4" customFormat="1" ht="23.25" customHeight="1">
      <c r="A5" s="309" t="s">
        <v>1297</v>
      </c>
      <c r="B5" s="309"/>
      <c r="C5" s="309"/>
      <c r="D5" s="309"/>
      <c r="E5" s="309"/>
      <c r="F5" s="309"/>
      <c r="G5" s="309"/>
      <c r="H5" s="309"/>
      <c r="I5" s="108"/>
      <c r="J5" s="47"/>
    </row>
    <row r="6" spans="1:10" s="8" customFormat="1" ht="45.75" customHeight="1">
      <c r="A6" s="5" t="s">
        <v>4</v>
      </c>
      <c r="B6" s="302" t="s">
        <v>5</v>
      </c>
      <c r="C6" s="303"/>
      <c r="D6" s="6" t="s">
        <v>6</v>
      </c>
      <c r="E6" s="304" t="s">
        <v>11</v>
      </c>
      <c r="F6" s="305"/>
      <c r="G6" s="20" t="s">
        <v>1359</v>
      </c>
      <c r="H6" s="20" t="s">
        <v>186</v>
      </c>
      <c r="I6" s="6" t="s">
        <v>2219</v>
      </c>
      <c r="J6" s="48"/>
    </row>
    <row r="7" spans="1:10" s="8" customFormat="1" ht="21" customHeight="1">
      <c r="A7" s="9">
        <f t="shared" ref="A7:A55" si="0">ROW()-6</f>
        <v>1</v>
      </c>
      <c r="B7" s="21" t="s">
        <v>1195</v>
      </c>
      <c r="C7" s="23" t="s">
        <v>94</v>
      </c>
      <c r="D7" s="212" t="s">
        <v>1190</v>
      </c>
      <c r="E7" s="51" t="s">
        <v>2707</v>
      </c>
      <c r="F7" s="51" t="s">
        <v>553</v>
      </c>
      <c r="G7" s="121" t="s">
        <v>2706</v>
      </c>
      <c r="H7" s="119"/>
      <c r="I7" s="110" t="s">
        <v>2204</v>
      </c>
      <c r="J7" s="48">
        <v>2</v>
      </c>
    </row>
    <row r="8" spans="1:10" s="8" customFormat="1" ht="21" customHeight="1">
      <c r="A8" s="9">
        <f t="shared" si="0"/>
        <v>2</v>
      </c>
      <c r="B8" s="21" t="s">
        <v>54</v>
      </c>
      <c r="C8" s="23" t="s">
        <v>55</v>
      </c>
      <c r="D8" s="12">
        <v>36637</v>
      </c>
      <c r="E8" s="35" t="s">
        <v>608</v>
      </c>
      <c r="F8" s="35" t="s">
        <v>541</v>
      </c>
      <c r="G8" s="50" t="s">
        <v>607</v>
      </c>
      <c r="H8" s="35"/>
      <c r="I8" s="110" t="s">
        <v>2204</v>
      </c>
      <c r="J8" s="48">
        <v>2</v>
      </c>
    </row>
    <row r="9" spans="1:10" s="8" customFormat="1" ht="21" customHeight="1">
      <c r="A9" s="9">
        <f t="shared" si="0"/>
        <v>3</v>
      </c>
      <c r="B9" s="21" t="s">
        <v>181</v>
      </c>
      <c r="C9" s="23" t="s">
        <v>55</v>
      </c>
      <c r="D9" s="12">
        <v>39623</v>
      </c>
      <c r="E9" s="35" t="s">
        <v>1008</v>
      </c>
      <c r="F9" s="35" t="s">
        <v>573</v>
      </c>
      <c r="G9" s="50" t="s">
        <v>1009</v>
      </c>
      <c r="H9" s="35"/>
      <c r="I9" s="110" t="s">
        <v>2204</v>
      </c>
      <c r="J9" s="48">
        <v>2</v>
      </c>
    </row>
    <row r="10" spans="1:10" s="8" customFormat="1" ht="21" customHeight="1">
      <c r="A10" s="9">
        <f t="shared" si="0"/>
        <v>4</v>
      </c>
      <c r="B10" s="21" t="s">
        <v>152</v>
      </c>
      <c r="C10" s="23" t="s">
        <v>180</v>
      </c>
      <c r="D10" s="12">
        <v>39631</v>
      </c>
      <c r="E10" s="35" t="s">
        <v>862</v>
      </c>
      <c r="F10" s="35" t="s">
        <v>573</v>
      </c>
      <c r="G10" s="50" t="s">
        <v>2225</v>
      </c>
      <c r="H10" s="35"/>
      <c r="I10" s="110" t="s">
        <v>2226</v>
      </c>
      <c r="J10" s="48">
        <v>2</v>
      </c>
    </row>
    <row r="11" spans="1:10" ht="21" customHeight="1">
      <c r="A11" s="9">
        <f t="shared" si="0"/>
        <v>5</v>
      </c>
      <c r="B11" s="21" t="s">
        <v>1134</v>
      </c>
      <c r="C11" s="23" t="s">
        <v>1135</v>
      </c>
      <c r="D11" s="212" t="s">
        <v>1130</v>
      </c>
      <c r="E11" s="51" t="s">
        <v>2229</v>
      </c>
      <c r="F11" s="51" t="s">
        <v>556</v>
      </c>
      <c r="G11" s="121" t="s">
        <v>2230</v>
      </c>
      <c r="H11" s="119"/>
      <c r="I11" s="112" t="s">
        <v>2204</v>
      </c>
      <c r="J11" s="48">
        <v>2</v>
      </c>
    </row>
    <row r="12" spans="1:10" ht="21" customHeight="1">
      <c r="A12" s="9">
        <f t="shared" si="0"/>
        <v>6</v>
      </c>
      <c r="B12" s="21" t="s">
        <v>184</v>
      </c>
      <c r="C12" s="23" t="s">
        <v>185</v>
      </c>
      <c r="D12" s="15">
        <v>39462</v>
      </c>
      <c r="E12" s="37" t="s">
        <v>1014</v>
      </c>
      <c r="F12" s="37" t="s">
        <v>573</v>
      </c>
      <c r="G12" s="120" t="s">
        <v>1015</v>
      </c>
      <c r="H12" s="37" t="s">
        <v>1521</v>
      </c>
      <c r="I12" s="122" t="s">
        <v>2204</v>
      </c>
      <c r="J12" s="48">
        <v>2</v>
      </c>
    </row>
    <row r="13" spans="1:10" ht="21" customHeight="1">
      <c r="A13" s="9">
        <f t="shared" si="0"/>
        <v>7</v>
      </c>
      <c r="B13" s="21" t="s">
        <v>157</v>
      </c>
      <c r="C13" s="23" t="s">
        <v>25</v>
      </c>
      <c r="D13" s="12">
        <v>39661</v>
      </c>
      <c r="E13" s="35" t="s">
        <v>618</v>
      </c>
      <c r="F13" s="35" t="s">
        <v>541</v>
      </c>
      <c r="G13" s="50" t="s">
        <v>619</v>
      </c>
      <c r="H13" s="35"/>
      <c r="I13" s="110" t="s">
        <v>2204</v>
      </c>
      <c r="J13" s="48">
        <v>2</v>
      </c>
    </row>
    <row r="14" spans="1:10" ht="21" customHeight="1">
      <c r="A14" s="9">
        <f t="shared" si="0"/>
        <v>8</v>
      </c>
      <c r="B14" s="21" t="s">
        <v>22</v>
      </c>
      <c r="C14" s="23" t="s">
        <v>23</v>
      </c>
      <c r="D14" s="12">
        <v>39715</v>
      </c>
      <c r="E14" s="35" t="s">
        <v>2232</v>
      </c>
      <c r="F14" s="35" t="s">
        <v>544</v>
      </c>
      <c r="G14" s="50" t="s">
        <v>2233</v>
      </c>
      <c r="H14" s="35"/>
      <c r="I14" s="110" t="s">
        <v>2204</v>
      </c>
      <c r="J14" s="48">
        <v>2</v>
      </c>
    </row>
    <row r="15" spans="1:10" ht="21" customHeight="1">
      <c r="A15" s="9">
        <f t="shared" si="0"/>
        <v>9</v>
      </c>
      <c r="B15" s="21" t="s">
        <v>26</v>
      </c>
      <c r="C15" s="23" t="s">
        <v>27</v>
      </c>
      <c r="D15" s="12">
        <v>39605</v>
      </c>
      <c r="E15" s="35" t="s">
        <v>917</v>
      </c>
      <c r="F15" s="35" t="s">
        <v>544</v>
      </c>
      <c r="G15" s="50" t="s">
        <v>1642</v>
      </c>
      <c r="H15" s="35"/>
      <c r="I15" s="110" t="s">
        <v>2204</v>
      </c>
      <c r="J15" s="48">
        <v>2</v>
      </c>
    </row>
    <row r="16" spans="1:10" ht="21" customHeight="1">
      <c r="A16" s="9">
        <f t="shared" si="0"/>
        <v>10</v>
      </c>
      <c r="B16" s="21" t="s">
        <v>136</v>
      </c>
      <c r="C16" s="23" t="s">
        <v>137</v>
      </c>
      <c r="D16" s="12">
        <v>39711</v>
      </c>
      <c r="E16" s="35" t="s">
        <v>1286</v>
      </c>
      <c r="F16" s="35" t="s">
        <v>556</v>
      </c>
      <c r="G16" s="50" t="s">
        <v>1643</v>
      </c>
      <c r="H16" s="35"/>
      <c r="I16" s="110" t="s">
        <v>2204</v>
      </c>
      <c r="J16" s="48">
        <v>2</v>
      </c>
    </row>
    <row r="17" spans="1:10" ht="21" customHeight="1">
      <c r="A17" s="9">
        <f t="shared" si="0"/>
        <v>11</v>
      </c>
      <c r="B17" s="21" t="s">
        <v>16</v>
      </c>
      <c r="C17" s="23" t="s">
        <v>17</v>
      </c>
      <c r="D17" s="12">
        <v>39455</v>
      </c>
      <c r="E17" s="35" t="s">
        <v>629</v>
      </c>
      <c r="F17" s="35" t="s">
        <v>541</v>
      </c>
      <c r="G17" s="50" t="s">
        <v>633</v>
      </c>
      <c r="H17" s="35"/>
      <c r="I17" s="110" t="s">
        <v>2204</v>
      </c>
      <c r="J17" s="48">
        <v>2</v>
      </c>
    </row>
    <row r="18" spans="1:10" ht="21" customHeight="1">
      <c r="A18" s="9">
        <f t="shared" si="0"/>
        <v>12</v>
      </c>
      <c r="B18" s="21" t="s">
        <v>173</v>
      </c>
      <c r="C18" s="23" t="s">
        <v>17</v>
      </c>
      <c r="D18" s="12">
        <v>39672</v>
      </c>
      <c r="E18" s="35" t="s">
        <v>691</v>
      </c>
      <c r="F18" s="35" t="s">
        <v>541</v>
      </c>
      <c r="G18" s="50" t="s">
        <v>977</v>
      </c>
      <c r="H18" s="35"/>
      <c r="I18" s="110" t="s">
        <v>2204</v>
      </c>
      <c r="J18" s="48">
        <v>2</v>
      </c>
    </row>
    <row r="19" spans="1:10" ht="21" customHeight="1">
      <c r="A19" s="9">
        <f t="shared" si="0"/>
        <v>13</v>
      </c>
      <c r="B19" s="21" t="s">
        <v>138</v>
      </c>
      <c r="C19" s="23" t="s">
        <v>123</v>
      </c>
      <c r="D19" s="12">
        <v>39805</v>
      </c>
      <c r="E19" s="35" t="s">
        <v>1286</v>
      </c>
      <c r="F19" s="35" t="s">
        <v>556</v>
      </c>
      <c r="G19" s="50" t="s">
        <v>2235</v>
      </c>
      <c r="H19" s="35"/>
      <c r="I19" s="110" t="s">
        <v>2204</v>
      </c>
      <c r="J19" s="48">
        <v>2</v>
      </c>
    </row>
    <row r="20" spans="1:10" ht="21" customHeight="1">
      <c r="A20" s="9">
        <f t="shared" si="0"/>
        <v>14</v>
      </c>
      <c r="B20" s="21" t="s">
        <v>139</v>
      </c>
      <c r="C20" s="23" t="s">
        <v>123</v>
      </c>
      <c r="D20" s="12">
        <v>39579</v>
      </c>
      <c r="E20" s="35" t="s">
        <v>970</v>
      </c>
      <c r="F20" s="35" t="s">
        <v>573</v>
      </c>
      <c r="G20" s="50" t="s">
        <v>2234</v>
      </c>
      <c r="H20" s="119"/>
      <c r="I20" s="112" t="s">
        <v>2204</v>
      </c>
      <c r="J20" s="48">
        <v>2</v>
      </c>
    </row>
    <row r="21" spans="1:10" ht="21" customHeight="1">
      <c r="A21" s="9">
        <f t="shared" si="0"/>
        <v>15</v>
      </c>
      <c r="B21" s="21" t="s">
        <v>175</v>
      </c>
      <c r="C21" s="23" t="s">
        <v>166</v>
      </c>
      <c r="D21" s="12">
        <v>39592</v>
      </c>
      <c r="E21" s="35" t="s">
        <v>697</v>
      </c>
      <c r="F21" s="35" t="s">
        <v>556</v>
      </c>
      <c r="G21" s="50" t="s">
        <v>1007</v>
      </c>
      <c r="H21" s="118"/>
      <c r="I21" s="112" t="s">
        <v>2204</v>
      </c>
      <c r="J21" s="48">
        <v>2</v>
      </c>
    </row>
    <row r="22" spans="1:10" ht="21" customHeight="1">
      <c r="A22" s="9">
        <f t="shared" si="0"/>
        <v>16</v>
      </c>
      <c r="B22" s="21" t="s">
        <v>165</v>
      </c>
      <c r="C22" s="23" t="s">
        <v>166</v>
      </c>
      <c r="D22" s="12">
        <v>39698</v>
      </c>
      <c r="E22" s="35" t="s">
        <v>628</v>
      </c>
      <c r="F22" s="29" t="s">
        <v>631</v>
      </c>
      <c r="G22" s="50" t="s">
        <v>978</v>
      </c>
      <c r="H22" s="35" t="s">
        <v>1518</v>
      </c>
      <c r="I22" s="268" t="s">
        <v>3334</v>
      </c>
      <c r="J22" s="48"/>
    </row>
    <row r="23" spans="1:10" ht="21" customHeight="1">
      <c r="A23" s="9">
        <f t="shared" si="0"/>
        <v>17</v>
      </c>
      <c r="B23" s="21" t="s">
        <v>124</v>
      </c>
      <c r="C23" s="23" t="s">
        <v>58</v>
      </c>
      <c r="D23" s="12">
        <v>39756</v>
      </c>
      <c r="E23" s="35" t="s">
        <v>647</v>
      </c>
      <c r="F23" s="35" t="s">
        <v>541</v>
      </c>
      <c r="G23" s="50" t="s">
        <v>2236</v>
      </c>
      <c r="H23" s="119"/>
      <c r="I23" s="110" t="s">
        <v>2204</v>
      </c>
      <c r="J23" s="48">
        <v>2</v>
      </c>
    </row>
    <row r="24" spans="1:10" ht="21" customHeight="1">
      <c r="A24" s="9">
        <f t="shared" si="0"/>
        <v>18</v>
      </c>
      <c r="B24" s="21" t="s">
        <v>1133</v>
      </c>
      <c r="C24" s="23" t="s">
        <v>145</v>
      </c>
      <c r="D24" s="212" t="s">
        <v>1129</v>
      </c>
      <c r="E24" s="51" t="s">
        <v>2227</v>
      </c>
      <c r="F24" s="51" t="s">
        <v>573</v>
      </c>
      <c r="G24" s="121" t="s">
        <v>2228</v>
      </c>
      <c r="H24" s="119"/>
      <c r="I24" s="112" t="s">
        <v>2204</v>
      </c>
      <c r="J24" s="48">
        <v>2</v>
      </c>
    </row>
    <row r="25" spans="1:10" ht="21" customHeight="1">
      <c r="A25" s="9">
        <f t="shared" si="0"/>
        <v>19</v>
      </c>
      <c r="B25" s="21" t="s">
        <v>1104</v>
      </c>
      <c r="C25" s="23" t="s">
        <v>83</v>
      </c>
      <c r="D25" s="212" t="s">
        <v>1097</v>
      </c>
      <c r="E25" s="35" t="s">
        <v>815</v>
      </c>
      <c r="F25" s="35" t="s">
        <v>573</v>
      </c>
      <c r="G25" s="121" t="s">
        <v>1740</v>
      </c>
      <c r="H25" s="119"/>
      <c r="I25" s="112" t="s">
        <v>2204</v>
      </c>
      <c r="J25" s="48">
        <v>2</v>
      </c>
    </row>
    <row r="26" spans="1:10" ht="21" customHeight="1">
      <c r="A26" s="9">
        <f t="shared" si="0"/>
        <v>20</v>
      </c>
      <c r="B26" s="21" t="s">
        <v>1194</v>
      </c>
      <c r="C26" s="23" t="s">
        <v>188</v>
      </c>
      <c r="D26" s="212" t="s">
        <v>1189</v>
      </c>
      <c r="E26" s="51" t="s">
        <v>1362</v>
      </c>
      <c r="F26" s="51" t="s">
        <v>553</v>
      </c>
      <c r="G26" s="121" t="s">
        <v>1363</v>
      </c>
      <c r="H26" s="119"/>
      <c r="I26" s="117" t="s">
        <v>2847</v>
      </c>
      <c r="J26" s="48">
        <v>2</v>
      </c>
    </row>
    <row r="27" spans="1:10" ht="21" customHeight="1">
      <c r="A27" s="9">
        <f t="shared" si="0"/>
        <v>21</v>
      </c>
      <c r="B27" s="21" t="s">
        <v>1192</v>
      </c>
      <c r="C27" s="23" t="s">
        <v>1193</v>
      </c>
      <c r="D27" s="212" t="s">
        <v>1188</v>
      </c>
      <c r="E27" s="51" t="s">
        <v>3380</v>
      </c>
      <c r="F27" s="51" t="s">
        <v>556</v>
      </c>
      <c r="G27" s="121" t="s">
        <v>1644</v>
      </c>
      <c r="H27" s="119"/>
      <c r="I27" s="112" t="s">
        <v>2204</v>
      </c>
      <c r="J27" s="48">
        <v>2</v>
      </c>
    </row>
    <row r="28" spans="1:10" ht="21" customHeight="1">
      <c r="A28" s="9">
        <f t="shared" si="0"/>
        <v>22</v>
      </c>
      <c r="B28" s="21" t="s">
        <v>79</v>
      </c>
      <c r="C28" s="23" t="s">
        <v>9</v>
      </c>
      <c r="D28" s="12">
        <v>39500</v>
      </c>
      <c r="E28" s="35" t="s">
        <v>999</v>
      </c>
      <c r="F28" s="35" t="s">
        <v>556</v>
      </c>
      <c r="G28" s="50" t="s">
        <v>1000</v>
      </c>
      <c r="H28" s="119"/>
      <c r="I28" s="112" t="s">
        <v>2204</v>
      </c>
      <c r="J28" s="48">
        <v>2</v>
      </c>
    </row>
    <row r="29" spans="1:10" ht="21" customHeight="1">
      <c r="A29" s="9">
        <f t="shared" si="0"/>
        <v>23</v>
      </c>
      <c r="B29" s="21" t="s">
        <v>91</v>
      </c>
      <c r="C29" s="23" t="s">
        <v>92</v>
      </c>
      <c r="D29" s="12">
        <v>39754</v>
      </c>
      <c r="E29" s="35" t="s">
        <v>655</v>
      </c>
      <c r="F29" s="35" t="s">
        <v>573</v>
      </c>
      <c r="G29" s="50" t="s">
        <v>656</v>
      </c>
      <c r="H29" s="119"/>
      <c r="I29" s="112" t="s">
        <v>2215</v>
      </c>
      <c r="J29" s="48">
        <v>2</v>
      </c>
    </row>
    <row r="30" spans="1:10" ht="21" customHeight="1">
      <c r="A30" s="9">
        <f t="shared" si="0"/>
        <v>24</v>
      </c>
      <c r="B30" s="21" t="s">
        <v>1132</v>
      </c>
      <c r="C30" s="23" t="s">
        <v>74</v>
      </c>
      <c r="D30" s="213">
        <v>47010</v>
      </c>
      <c r="E30" s="51" t="s">
        <v>579</v>
      </c>
      <c r="F30" s="51" t="s">
        <v>541</v>
      </c>
      <c r="G30" s="121" t="s">
        <v>1645</v>
      </c>
      <c r="H30" s="119"/>
      <c r="I30" s="112" t="s">
        <v>2204</v>
      </c>
      <c r="J30" s="48">
        <v>2</v>
      </c>
    </row>
    <row r="31" spans="1:10" ht="21" customHeight="1">
      <c r="A31" s="9">
        <f t="shared" si="0"/>
        <v>25</v>
      </c>
      <c r="B31" s="21" t="s">
        <v>1319</v>
      </c>
      <c r="C31" s="23" t="s">
        <v>74</v>
      </c>
      <c r="D31" s="12" t="s">
        <v>1326</v>
      </c>
      <c r="E31" s="35" t="s">
        <v>540</v>
      </c>
      <c r="F31" s="35" t="s">
        <v>541</v>
      </c>
      <c r="G31" s="50" t="s">
        <v>1624</v>
      </c>
      <c r="H31" s="119"/>
      <c r="I31" s="112" t="s">
        <v>2204</v>
      </c>
      <c r="J31" s="48">
        <v>2</v>
      </c>
    </row>
    <row r="32" spans="1:10" ht="21" customHeight="1">
      <c r="A32" s="9">
        <f t="shared" si="0"/>
        <v>26</v>
      </c>
      <c r="B32" s="21" t="s">
        <v>95</v>
      </c>
      <c r="C32" s="23" t="s">
        <v>49</v>
      </c>
      <c r="D32" s="12">
        <v>39094</v>
      </c>
      <c r="E32" s="35" t="s">
        <v>970</v>
      </c>
      <c r="F32" s="35" t="s">
        <v>573</v>
      </c>
      <c r="G32" s="50" t="s">
        <v>1054</v>
      </c>
      <c r="H32" s="119"/>
      <c r="I32" s="112" t="s">
        <v>2204</v>
      </c>
      <c r="J32" s="48">
        <v>2</v>
      </c>
    </row>
    <row r="33" spans="1:11" ht="21" customHeight="1">
      <c r="A33" s="9">
        <f t="shared" si="0"/>
        <v>27</v>
      </c>
      <c r="B33" s="21" t="s">
        <v>164</v>
      </c>
      <c r="C33" s="23" t="s">
        <v>97</v>
      </c>
      <c r="D33" s="12">
        <v>39491</v>
      </c>
      <c r="E33" s="35" t="s">
        <v>628</v>
      </c>
      <c r="F33" s="35" t="s">
        <v>631</v>
      </c>
      <c r="G33" s="50" t="s">
        <v>979</v>
      </c>
      <c r="H33" s="119"/>
      <c r="I33" s="117" t="s">
        <v>3334</v>
      </c>
      <c r="J33" s="48">
        <v>2</v>
      </c>
    </row>
    <row r="34" spans="1:11" ht="21" customHeight="1">
      <c r="A34" s="9">
        <f t="shared" si="0"/>
        <v>28</v>
      </c>
      <c r="B34" s="21" t="s">
        <v>95</v>
      </c>
      <c r="C34" s="23" t="s">
        <v>97</v>
      </c>
      <c r="D34" s="12">
        <v>39508</v>
      </c>
      <c r="E34" s="35" t="s">
        <v>2144</v>
      </c>
      <c r="F34" s="35" t="s">
        <v>631</v>
      </c>
      <c r="G34" s="50" t="s">
        <v>670</v>
      </c>
      <c r="H34" s="119" t="s">
        <v>1361</v>
      </c>
      <c r="I34" s="112" t="s">
        <v>2204</v>
      </c>
      <c r="J34" s="48">
        <v>2</v>
      </c>
    </row>
    <row r="35" spans="1:11" ht="21" customHeight="1">
      <c r="A35" s="9">
        <f t="shared" si="0"/>
        <v>29</v>
      </c>
      <c r="B35" s="21" t="s">
        <v>54</v>
      </c>
      <c r="C35" s="23" t="s">
        <v>56</v>
      </c>
      <c r="D35" s="12">
        <v>39703</v>
      </c>
      <c r="E35" s="35" t="s">
        <v>981</v>
      </c>
      <c r="F35" s="35" t="s">
        <v>553</v>
      </c>
      <c r="G35" s="50" t="s">
        <v>982</v>
      </c>
      <c r="H35" s="119"/>
      <c r="I35" s="112" t="s">
        <v>2204</v>
      </c>
      <c r="J35" s="48">
        <v>2</v>
      </c>
    </row>
    <row r="36" spans="1:11" ht="21" customHeight="1">
      <c r="A36" s="9">
        <f t="shared" si="0"/>
        <v>30</v>
      </c>
      <c r="B36" s="21" t="s">
        <v>77</v>
      </c>
      <c r="C36" s="23" t="s">
        <v>78</v>
      </c>
      <c r="D36" s="12">
        <v>39551</v>
      </c>
      <c r="E36" s="35" t="s">
        <v>1286</v>
      </c>
      <c r="F36" s="50" t="s">
        <v>556</v>
      </c>
      <c r="G36" s="50" t="s">
        <v>961</v>
      </c>
      <c r="H36" s="119"/>
      <c r="I36" s="112" t="s">
        <v>2204</v>
      </c>
      <c r="J36" s="48">
        <v>2</v>
      </c>
    </row>
    <row r="37" spans="1:11" ht="21" customHeight="1">
      <c r="A37" s="9">
        <f t="shared" si="0"/>
        <v>31</v>
      </c>
      <c r="B37" s="21" t="s">
        <v>113</v>
      </c>
      <c r="C37" s="23" t="s">
        <v>98</v>
      </c>
      <c r="D37" s="12">
        <v>38930</v>
      </c>
      <c r="E37" s="35" t="s">
        <v>629</v>
      </c>
      <c r="F37" s="35" t="s">
        <v>541</v>
      </c>
      <c r="G37" s="50" t="s">
        <v>675</v>
      </c>
      <c r="H37" s="119"/>
      <c r="I37" s="112" t="s">
        <v>2204</v>
      </c>
      <c r="J37" s="48">
        <v>2</v>
      </c>
    </row>
    <row r="38" spans="1:11" ht="21" customHeight="1">
      <c r="A38" s="9">
        <f t="shared" si="0"/>
        <v>32</v>
      </c>
      <c r="B38" s="21" t="s">
        <v>30</v>
      </c>
      <c r="C38" s="23" t="s">
        <v>31</v>
      </c>
      <c r="D38" s="12">
        <v>39762</v>
      </c>
      <c r="E38" s="51" t="s">
        <v>2222</v>
      </c>
      <c r="F38" s="51" t="s">
        <v>556</v>
      </c>
      <c r="G38" s="121" t="s">
        <v>2223</v>
      </c>
      <c r="H38" s="119"/>
      <c r="I38" s="112" t="s">
        <v>2204</v>
      </c>
      <c r="J38" s="48">
        <v>2</v>
      </c>
    </row>
    <row r="39" spans="1:11" ht="21" customHeight="1">
      <c r="A39" s="9">
        <f t="shared" si="0"/>
        <v>33</v>
      </c>
      <c r="B39" s="21" t="s">
        <v>117</v>
      </c>
      <c r="C39" s="23" t="s">
        <v>31</v>
      </c>
      <c r="D39" s="12">
        <v>39450</v>
      </c>
      <c r="E39" s="35" t="s">
        <v>672</v>
      </c>
      <c r="F39" s="35" t="s">
        <v>556</v>
      </c>
      <c r="G39" s="50" t="s">
        <v>673</v>
      </c>
      <c r="H39" s="119"/>
      <c r="I39" s="112" t="s">
        <v>2204</v>
      </c>
      <c r="J39" s="48">
        <v>2</v>
      </c>
    </row>
    <row r="40" spans="1:11" ht="21" customHeight="1">
      <c r="A40" s="9">
        <f t="shared" si="0"/>
        <v>34</v>
      </c>
      <c r="B40" s="21" t="s">
        <v>1519</v>
      </c>
      <c r="C40" s="23" t="s">
        <v>118</v>
      </c>
      <c r="D40" s="12">
        <v>38184</v>
      </c>
      <c r="E40" s="35" t="s">
        <v>917</v>
      </c>
      <c r="F40" s="35" t="s">
        <v>544</v>
      </c>
      <c r="G40" s="50" t="s">
        <v>1520</v>
      </c>
      <c r="H40" s="119"/>
      <c r="I40" s="112" t="s">
        <v>2204</v>
      </c>
      <c r="J40" s="48">
        <v>2</v>
      </c>
    </row>
    <row r="41" spans="1:11" ht="21" customHeight="1">
      <c r="A41" s="9">
        <f t="shared" si="0"/>
        <v>35</v>
      </c>
      <c r="B41" s="21" t="s">
        <v>46</v>
      </c>
      <c r="C41" s="23" t="s">
        <v>47</v>
      </c>
      <c r="D41" s="12">
        <v>39786</v>
      </c>
      <c r="E41" s="35" t="s">
        <v>664</v>
      </c>
      <c r="F41" s="35" t="s">
        <v>541</v>
      </c>
      <c r="G41" s="50" t="s">
        <v>2237</v>
      </c>
      <c r="H41" s="119"/>
      <c r="I41" s="112" t="s">
        <v>2204</v>
      </c>
      <c r="J41" s="48">
        <v>2</v>
      </c>
    </row>
    <row r="42" spans="1:11" ht="21" customHeight="1">
      <c r="A42" s="9">
        <f t="shared" si="0"/>
        <v>36</v>
      </c>
      <c r="B42" s="21" t="s">
        <v>162</v>
      </c>
      <c r="C42" s="23" t="s">
        <v>86</v>
      </c>
      <c r="D42" s="12">
        <v>39740</v>
      </c>
      <c r="E42" s="35" t="s">
        <v>679</v>
      </c>
      <c r="F42" s="35" t="s">
        <v>544</v>
      </c>
      <c r="G42" s="50" t="s">
        <v>680</v>
      </c>
      <c r="H42" s="119"/>
      <c r="I42" s="112" t="s">
        <v>2204</v>
      </c>
      <c r="J42" s="48">
        <v>2</v>
      </c>
    </row>
    <row r="43" spans="1:11" ht="21" customHeight="1">
      <c r="A43" s="9">
        <f t="shared" si="0"/>
        <v>37</v>
      </c>
      <c r="B43" s="21" t="s">
        <v>44</v>
      </c>
      <c r="C43" s="23" t="s">
        <v>45</v>
      </c>
      <c r="D43" s="12">
        <v>39772</v>
      </c>
      <c r="E43" s="35" t="s">
        <v>683</v>
      </c>
      <c r="F43" s="35" t="s">
        <v>541</v>
      </c>
      <c r="G43" s="50" t="s">
        <v>684</v>
      </c>
      <c r="H43" s="119"/>
      <c r="I43" s="112" t="s">
        <v>2204</v>
      </c>
      <c r="J43" s="48">
        <v>2</v>
      </c>
    </row>
    <row r="44" spans="1:11" ht="21" customHeight="1">
      <c r="A44" s="9">
        <f t="shared" si="0"/>
        <v>38</v>
      </c>
      <c r="B44" s="21" t="s">
        <v>109</v>
      </c>
      <c r="C44" s="23" t="s">
        <v>68</v>
      </c>
      <c r="D44" s="12">
        <v>38108</v>
      </c>
      <c r="E44" s="35" t="s">
        <v>637</v>
      </c>
      <c r="F44" s="35" t="s">
        <v>541</v>
      </c>
      <c r="G44" s="50" t="s">
        <v>687</v>
      </c>
      <c r="H44" s="119"/>
      <c r="I44" s="112" t="s">
        <v>2204</v>
      </c>
      <c r="J44" s="48">
        <v>2</v>
      </c>
    </row>
    <row r="45" spans="1:11" ht="21" customHeight="1">
      <c r="A45" s="9">
        <f t="shared" si="0"/>
        <v>39</v>
      </c>
      <c r="B45" s="21" t="s">
        <v>28</v>
      </c>
      <c r="C45" s="23" t="s">
        <v>29</v>
      </c>
      <c r="D45" s="12">
        <v>39751</v>
      </c>
      <c r="E45" s="35" t="s">
        <v>917</v>
      </c>
      <c r="F45" s="35" t="s">
        <v>544</v>
      </c>
      <c r="G45" s="50" t="s">
        <v>2145</v>
      </c>
      <c r="H45" s="119"/>
      <c r="I45" s="112" t="s">
        <v>2204</v>
      </c>
      <c r="J45" s="48">
        <v>2</v>
      </c>
    </row>
    <row r="46" spans="1:11" ht="21" customHeight="1">
      <c r="A46" s="9">
        <f t="shared" si="0"/>
        <v>40</v>
      </c>
      <c r="B46" s="21" t="s">
        <v>110</v>
      </c>
      <c r="C46" s="23" t="s">
        <v>111</v>
      </c>
      <c r="D46" s="12">
        <v>39738</v>
      </c>
      <c r="E46" s="35" t="s">
        <v>691</v>
      </c>
      <c r="F46" s="35" t="s">
        <v>541</v>
      </c>
      <c r="G46" s="50" t="s">
        <v>692</v>
      </c>
      <c r="H46" s="119"/>
      <c r="I46" s="112" t="s">
        <v>2204</v>
      </c>
      <c r="J46" s="48">
        <v>2</v>
      </c>
    </row>
    <row r="47" spans="1:11" ht="21" customHeight="1">
      <c r="A47" s="9">
        <f t="shared" si="0"/>
        <v>41</v>
      </c>
      <c r="B47" s="21" t="s">
        <v>1322</v>
      </c>
      <c r="C47" s="23" t="s">
        <v>111</v>
      </c>
      <c r="D47" s="12" t="s">
        <v>1328</v>
      </c>
      <c r="E47" s="35" t="s">
        <v>579</v>
      </c>
      <c r="F47" s="35" t="s">
        <v>541</v>
      </c>
      <c r="G47" s="50" t="s">
        <v>2224</v>
      </c>
      <c r="H47" s="119"/>
      <c r="I47" s="112" t="s">
        <v>2204</v>
      </c>
      <c r="J47" s="48">
        <v>2</v>
      </c>
    </row>
    <row r="48" spans="1:11" ht="21" customHeight="1">
      <c r="A48" s="9">
        <f t="shared" si="0"/>
        <v>42</v>
      </c>
      <c r="B48" s="21" t="s">
        <v>2532</v>
      </c>
      <c r="C48" s="23" t="s">
        <v>2244</v>
      </c>
      <c r="D48" s="12" t="s">
        <v>1875</v>
      </c>
      <c r="E48" s="35" t="s">
        <v>3103</v>
      </c>
      <c r="F48" s="35" t="s">
        <v>556</v>
      </c>
      <c r="G48" s="50" t="s">
        <v>3104</v>
      </c>
      <c r="H48" s="119" t="s">
        <v>3048</v>
      </c>
      <c r="I48" s="112" t="s">
        <v>2204</v>
      </c>
      <c r="J48" s="48" t="str">
        <f>PROPER(B48)</f>
        <v>Lê Đức</v>
      </c>
      <c r="K48" s="1" t="str">
        <f>PROPER(C48)</f>
        <v>Tín</v>
      </c>
    </row>
    <row r="49" spans="1:11" ht="21" customHeight="1">
      <c r="A49" s="9">
        <f t="shared" si="0"/>
        <v>43</v>
      </c>
      <c r="B49" s="21" t="s">
        <v>3052</v>
      </c>
      <c r="C49" s="23" t="s">
        <v>49</v>
      </c>
      <c r="D49" s="12" t="s">
        <v>3053</v>
      </c>
      <c r="E49" s="35" t="s">
        <v>711</v>
      </c>
      <c r="F49" s="35" t="s">
        <v>541</v>
      </c>
      <c r="G49" s="50" t="s">
        <v>3198</v>
      </c>
      <c r="H49" s="119" t="s">
        <v>3048</v>
      </c>
      <c r="I49" s="112" t="s">
        <v>2207</v>
      </c>
      <c r="J49" s="48" t="str">
        <f t="shared" ref="J49:J55" si="1">PROPER(B49)</f>
        <v>Lê Châu</v>
      </c>
      <c r="K49" s="1" t="str">
        <f t="shared" ref="K49:K55" si="2">PROPER(C49)</f>
        <v>Phong</v>
      </c>
    </row>
    <row r="50" spans="1:11" ht="21" customHeight="1">
      <c r="A50" s="9">
        <f t="shared" si="0"/>
        <v>44</v>
      </c>
      <c r="B50" s="21" t="s">
        <v>1423</v>
      </c>
      <c r="C50" s="23" t="s">
        <v>269</v>
      </c>
      <c r="D50" s="12" t="s">
        <v>1416</v>
      </c>
      <c r="E50" s="35" t="s">
        <v>683</v>
      </c>
      <c r="F50" s="35" t="s">
        <v>541</v>
      </c>
      <c r="G50" s="50" t="s">
        <v>3101</v>
      </c>
      <c r="H50" s="210" t="s">
        <v>3100</v>
      </c>
      <c r="I50" s="112" t="s">
        <v>2204</v>
      </c>
      <c r="J50" s="48" t="str">
        <f t="shared" si="1"/>
        <v>Lê Văn</v>
      </c>
      <c r="K50" s="1" t="str">
        <f t="shared" si="2"/>
        <v>Xuân</v>
      </c>
    </row>
    <row r="51" spans="1:11" ht="21" customHeight="1">
      <c r="A51" s="9">
        <f t="shared" si="0"/>
        <v>45</v>
      </c>
      <c r="B51" s="21" t="s">
        <v>3138</v>
      </c>
      <c r="C51" s="23" t="s">
        <v>58</v>
      </c>
      <c r="D51" s="12" t="s">
        <v>1762</v>
      </c>
      <c r="E51" s="35" t="s">
        <v>748</v>
      </c>
      <c r="F51" s="35" t="s">
        <v>541</v>
      </c>
      <c r="G51" s="50" t="s">
        <v>3199</v>
      </c>
      <c r="H51" s="119" t="s">
        <v>3134</v>
      </c>
      <c r="I51" s="112" t="s">
        <v>2207</v>
      </c>
      <c r="J51" s="48" t="str">
        <f t="shared" si="1"/>
        <v>Đào Duy</v>
      </c>
      <c r="K51" s="1" t="str">
        <f t="shared" si="2"/>
        <v>Khang</v>
      </c>
    </row>
    <row r="52" spans="1:11" ht="21" customHeight="1">
      <c r="A52" s="9">
        <f t="shared" si="0"/>
        <v>46</v>
      </c>
      <c r="B52" s="21" t="s">
        <v>3222</v>
      </c>
      <c r="C52" s="23" t="s">
        <v>108</v>
      </c>
      <c r="D52" s="12">
        <v>39487</v>
      </c>
      <c r="E52" s="35" t="s">
        <v>547</v>
      </c>
      <c r="F52" s="35" t="s">
        <v>541</v>
      </c>
      <c r="G52" s="50" t="s">
        <v>3265</v>
      </c>
      <c r="H52" s="119" t="s">
        <v>3219</v>
      </c>
      <c r="I52" s="112" t="s">
        <v>2204</v>
      </c>
      <c r="J52" s="48" t="str">
        <f t="shared" si="1"/>
        <v xml:space="preserve">Đặng Quốc </v>
      </c>
      <c r="K52" s="1" t="str">
        <f t="shared" si="2"/>
        <v>Kiên</v>
      </c>
    </row>
    <row r="53" spans="1:11" ht="21" customHeight="1">
      <c r="A53" s="9">
        <f t="shared" si="0"/>
        <v>47</v>
      </c>
      <c r="B53" s="21" t="s">
        <v>3350</v>
      </c>
      <c r="C53" s="23" t="s">
        <v>83</v>
      </c>
      <c r="D53" s="12">
        <v>39633</v>
      </c>
      <c r="E53" s="35" t="s">
        <v>590</v>
      </c>
      <c r="F53" s="35" t="s">
        <v>541</v>
      </c>
      <c r="G53" s="50" t="s">
        <v>3394</v>
      </c>
      <c r="H53" s="119" t="s">
        <v>3349</v>
      </c>
      <c r="I53" s="117" t="s">
        <v>2208</v>
      </c>
      <c r="J53" s="48" t="str">
        <f t="shared" si="1"/>
        <v>Phan Viết Đăng</v>
      </c>
      <c r="K53" s="1" t="str">
        <f t="shared" si="2"/>
        <v>Khôi</v>
      </c>
    </row>
    <row r="54" spans="1:11" ht="21" customHeight="1">
      <c r="A54" s="9">
        <f t="shared" si="0"/>
        <v>48</v>
      </c>
      <c r="B54" s="21" t="s">
        <v>1916</v>
      </c>
      <c r="C54" s="23" t="s">
        <v>70</v>
      </c>
      <c r="D54" s="12">
        <v>39124</v>
      </c>
      <c r="E54" s="35" t="s">
        <v>1290</v>
      </c>
      <c r="F54" s="35" t="s">
        <v>541</v>
      </c>
      <c r="G54" s="50" t="s">
        <v>3374</v>
      </c>
      <c r="H54" s="119" t="s">
        <v>3366</v>
      </c>
      <c r="I54" s="112" t="s">
        <v>3373</v>
      </c>
      <c r="J54" s="48" t="str">
        <f t="shared" si="1"/>
        <v>Nguyễn Tuấn</v>
      </c>
      <c r="K54" s="1" t="str">
        <f t="shared" si="2"/>
        <v>Anh</v>
      </c>
    </row>
    <row r="55" spans="1:11" ht="21" customHeight="1">
      <c r="A55" s="9">
        <f t="shared" si="0"/>
        <v>49</v>
      </c>
      <c r="B55" s="21" t="s">
        <v>3423</v>
      </c>
      <c r="C55" s="23" t="s">
        <v>3424</v>
      </c>
      <c r="D55" s="12">
        <v>39334</v>
      </c>
      <c r="E55" s="35" t="s">
        <v>3515</v>
      </c>
      <c r="F55" s="35" t="s">
        <v>549</v>
      </c>
      <c r="G55" s="50" t="s">
        <v>3516</v>
      </c>
      <c r="H55" s="119" t="s">
        <v>3427</v>
      </c>
      <c r="I55" s="117" t="s">
        <v>2847</v>
      </c>
      <c r="J55" s="48" t="str">
        <f t="shared" si="1"/>
        <v>Nguyễn Đỗ Thiên</v>
      </c>
      <c r="K55" s="1" t="str">
        <f t="shared" si="2"/>
        <v>Lạc</v>
      </c>
    </row>
  </sheetData>
  <sortState ref="B7:I47">
    <sortCondition ref="C7:C47"/>
  </sortState>
  <mergeCells count="8">
    <mergeCell ref="B6:C6"/>
    <mergeCell ref="E6:F6"/>
    <mergeCell ref="A1:D1"/>
    <mergeCell ref="E1:H1"/>
    <mergeCell ref="A2:D2"/>
    <mergeCell ref="E2:H2"/>
    <mergeCell ref="A4:H4"/>
    <mergeCell ref="A5:H5"/>
  </mergeCells>
  <pageMargins left="0.2" right="0.2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opLeftCell="A46" workbookViewId="0">
      <selection activeCell="G55" sqref="G55"/>
    </sheetView>
  </sheetViews>
  <sheetFormatPr defaultRowHeight="15"/>
  <cols>
    <col min="1" max="1" width="4.5703125" style="1" customWidth="1"/>
    <col min="2" max="2" width="20.42578125" style="1" customWidth="1"/>
    <col min="3" max="3" width="8.28515625" style="1" customWidth="1"/>
    <col min="4" max="4" width="11" style="1" customWidth="1"/>
    <col min="5" max="5" width="13.85546875" style="42" customWidth="1"/>
    <col min="6" max="6" width="13" style="42" customWidth="1"/>
    <col min="7" max="7" width="14" style="1" customWidth="1"/>
    <col min="8" max="8" width="20.140625" style="1" customWidth="1"/>
    <col min="9" max="9" width="24.28515625" style="124" customWidth="1"/>
    <col min="10" max="10" width="20.140625" style="42" customWidth="1"/>
    <col min="11" max="16384" width="9.140625" style="1"/>
  </cols>
  <sheetData>
    <row r="1" spans="1:10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  <c r="I1" s="123"/>
    </row>
    <row r="2" spans="1:10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  <c r="I2" s="123"/>
    </row>
    <row r="3" spans="1:10" ht="15.75" customHeight="1">
      <c r="A3" s="2"/>
      <c r="B3" s="3"/>
      <c r="C3" s="3"/>
      <c r="D3" s="3"/>
    </row>
    <row r="4" spans="1:10" ht="15.75" customHeight="1">
      <c r="A4" s="308" t="s">
        <v>10</v>
      </c>
      <c r="B4" s="308"/>
      <c r="C4" s="308"/>
      <c r="D4" s="308"/>
      <c r="E4" s="308"/>
      <c r="F4" s="308"/>
      <c r="G4" s="308"/>
      <c r="H4" s="308"/>
      <c r="I4" s="125"/>
    </row>
    <row r="5" spans="1:10" s="4" customFormat="1" ht="23.25" customHeight="1">
      <c r="A5" s="309" t="s">
        <v>1296</v>
      </c>
      <c r="B5" s="309"/>
      <c r="C5" s="309"/>
      <c r="D5" s="309"/>
      <c r="E5" s="309"/>
      <c r="F5" s="309"/>
      <c r="G5" s="309"/>
      <c r="H5" s="309"/>
      <c r="I5" s="126"/>
      <c r="J5" s="47"/>
    </row>
    <row r="6" spans="1:10" s="8" customFormat="1" ht="45.75" customHeight="1">
      <c r="A6" s="5" t="s">
        <v>4</v>
      </c>
      <c r="B6" s="302" t="s">
        <v>5</v>
      </c>
      <c r="C6" s="303"/>
      <c r="D6" s="6" t="s">
        <v>6</v>
      </c>
      <c r="E6" s="304" t="s">
        <v>11</v>
      </c>
      <c r="F6" s="305"/>
      <c r="G6" s="7" t="s">
        <v>8</v>
      </c>
      <c r="H6" s="20" t="s">
        <v>186</v>
      </c>
      <c r="I6" s="127" t="s">
        <v>2219</v>
      </c>
      <c r="J6" s="48"/>
    </row>
    <row r="7" spans="1:10" ht="19.5" customHeight="1">
      <c r="A7" s="9">
        <f t="shared" ref="A7:A55" si="0">ROW()-6</f>
        <v>1</v>
      </c>
      <c r="B7" s="21" t="s">
        <v>69</v>
      </c>
      <c r="C7" s="23" t="s">
        <v>70</v>
      </c>
      <c r="D7" s="12">
        <v>39625</v>
      </c>
      <c r="E7" s="35" t="s">
        <v>603</v>
      </c>
      <c r="F7" s="35" t="s">
        <v>541</v>
      </c>
      <c r="G7" s="17" t="s">
        <v>604</v>
      </c>
      <c r="H7" s="13"/>
      <c r="I7" s="128" t="s">
        <v>2204</v>
      </c>
      <c r="J7" s="48">
        <v>3</v>
      </c>
    </row>
    <row r="8" spans="1:10" ht="19.5" customHeight="1">
      <c r="A8" s="9">
        <f t="shared" si="0"/>
        <v>2</v>
      </c>
      <c r="B8" s="21" t="s">
        <v>526</v>
      </c>
      <c r="C8" s="23" t="s">
        <v>55</v>
      </c>
      <c r="D8" s="12">
        <v>39654</v>
      </c>
      <c r="E8" s="35" t="s">
        <v>646</v>
      </c>
      <c r="F8" s="35" t="s">
        <v>556</v>
      </c>
      <c r="G8" s="17" t="s">
        <v>701</v>
      </c>
      <c r="H8" s="28"/>
      <c r="I8" s="129" t="s">
        <v>2207</v>
      </c>
      <c r="J8" s="48">
        <v>3</v>
      </c>
    </row>
    <row r="9" spans="1:10" ht="19.5" customHeight="1">
      <c r="A9" s="9">
        <f t="shared" si="0"/>
        <v>3</v>
      </c>
      <c r="B9" s="21" t="s">
        <v>52</v>
      </c>
      <c r="C9" s="23" t="s">
        <v>53</v>
      </c>
      <c r="D9" s="12">
        <v>39749</v>
      </c>
      <c r="E9" s="35" t="s">
        <v>611</v>
      </c>
      <c r="F9" s="35" t="s">
        <v>541</v>
      </c>
      <c r="G9" s="17" t="s">
        <v>612</v>
      </c>
      <c r="H9" s="13"/>
      <c r="I9" s="128" t="s">
        <v>2204</v>
      </c>
      <c r="J9" s="48">
        <v>3</v>
      </c>
    </row>
    <row r="10" spans="1:10" ht="19.5" customHeight="1">
      <c r="A10" s="9">
        <f t="shared" si="0"/>
        <v>4</v>
      </c>
      <c r="B10" s="21" t="s">
        <v>131</v>
      </c>
      <c r="C10" s="23" t="s">
        <v>132</v>
      </c>
      <c r="D10" s="12">
        <v>39619</v>
      </c>
      <c r="E10" s="35" t="s">
        <v>614</v>
      </c>
      <c r="F10" s="35" t="s">
        <v>573</v>
      </c>
      <c r="G10" s="17" t="s">
        <v>613</v>
      </c>
      <c r="H10" s="13"/>
      <c r="I10" s="128" t="s">
        <v>2204</v>
      </c>
      <c r="J10" s="48">
        <v>3</v>
      </c>
    </row>
    <row r="11" spans="1:10" ht="19.5" customHeight="1">
      <c r="A11" s="9">
        <f t="shared" si="0"/>
        <v>5</v>
      </c>
      <c r="B11" s="21" t="s">
        <v>35</v>
      </c>
      <c r="C11" s="23" t="s">
        <v>36</v>
      </c>
      <c r="D11" s="12">
        <v>39734</v>
      </c>
      <c r="E11" s="35" t="s">
        <v>653</v>
      </c>
      <c r="F11" s="35" t="s">
        <v>544</v>
      </c>
      <c r="G11" s="17" t="s">
        <v>615</v>
      </c>
      <c r="H11" s="13"/>
      <c r="I11" s="128" t="s">
        <v>2204</v>
      </c>
      <c r="J11" s="48">
        <v>3</v>
      </c>
    </row>
    <row r="12" spans="1:10" ht="19.5" customHeight="1">
      <c r="A12" s="9">
        <f t="shared" si="0"/>
        <v>6</v>
      </c>
      <c r="B12" s="21" t="s">
        <v>524</v>
      </c>
      <c r="C12" s="23" t="s">
        <v>36</v>
      </c>
      <c r="D12" s="213">
        <v>38780</v>
      </c>
      <c r="E12" s="35" t="s">
        <v>621</v>
      </c>
      <c r="F12" s="35" t="s">
        <v>544</v>
      </c>
      <c r="G12" s="17" t="s">
        <v>2239</v>
      </c>
      <c r="H12" s="25"/>
      <c r="I12" s="130" t="s">
        <v>2204</v>
      </c>
      <c r="J12" s="48">
        <v>3</v>
      </c>
    </row>
    <row r="13" spans="1:10" ht="19.5" customHeight="1">
      <c r="A13" s="9">
        <f t="shared" si="0"/>
        <v>7</v>
      </c>
      <c r="B13" s="21" t="s">
        <v>1109</v>
      </c>
      <c r="C13" s="23" t="s">
        <v>25</v>
      </c>
      <c r="D13" s="212" t="s">
        <v>1102</v>
      </c>
      <c r="E13" s="35" t="s">
        <v>582</v>
      </c>
      <c r="F13" s="35" t="s">
        <v>541</v>
      </c>
      <c r="G13" s="17" t="s">
        <v>1676</v>
      </c>
      <c r="H13" s="25"/>
      <c r="I13" s="130" t="s">
        <v>2220</v>
      </c>
      <c r="J13" s="48">
        <v>3</v>
      </c>
    </row>
    <row r="14" spans="1:10" ht="19.5" customHeight="1">
      <c r="A14" s="9">
        <f t="shared" si="0"/>
        <v>8</v>
      </c>
      <c r="B14" s="21" t="s">
        <v>37</v>
      </c>
      <c r="C14" s="23" t="s">
        <v>38</v>
      </c>
      <c r="D14" s="12">
        <v>39777</v>
      </c>
      <c r="E14" s="35" t="s">
        <v>653</v>
      </c>
      <c r="F14" s="35" t="s">
        <v>544</v>
      </c>
      <c r="G14" s="17" t="s">
        <v>620</v>
      </c>
      <c r="H14" s="13"/>
      <c r="I14" s="128" t="s">
        <v>2204</v>
      </c>
      <c r="J14" s="48">
        <v>3</v>
      </c>
    </row>
    <row r="15" spans="1:10" ht="19.5" customHeight="1">
      <c r="A15" s="9">
        <f t="shared" si="0"/>
        <v>9</v>
      </c>
      <c r="B15" s="21" t="s">
        <v>102</v>
      </c>
      <c r="C15" s="23" t="s">
        <v>66</v>
      </c>
      <c r="D15" s="12">
        <v>39764</v>
      </c>
      <c r="E15" s="35" t="s">
        <v>972</v>
      </c>
      <c r="F15" s="35" t="s">
        <v>573</v>
      </c>
      <c r="G15" s="17" t="s">
        <v>973</v>
      </c>
      <c r="H15" s="13"/>
      <c r="I15" s="128" t="s">
        <v>2204</v>
      </c>
      <c r="J15" s="48">
        <v>3</v>
      </c>
    </row>
    <row r="16" spans="1:10" ht="19.5" customHeight="1">
      <c r="A16" s="9">
        <f t="shared" si="0"/>
        <v>10</v>
      </c>
      <c r="B16" s="21" t="s">
        <v>65</v>
      </c>
      <c r="C16" s="23" t="s">
        <v>66</v>
      </c>
      <c r="D16" s="12">
        <v>39805</v>
      </c>
      <c r="E16" s="35" t="s">
        <v>988</v>
      </c>
      <c r="F16" s="35" t="s">
        <v>731</v>
      </c>
      <c r="G16" s="17" t="s">
        <v>989</v>
      </c>
      <c r="H16" s="17"/>
      <c r="I16" s="131" t="s">
        <v>2207</v>
      </c>
      <c r="J16" s="48">
        <v>3</v>
      </c>
    </row>
    <row r="17" spans="1:10" ht="19.5" customHeight="1">
      <c r="A17" s="9">
        <f t="shared" si="0"/>
        <v>11</v>
      </c>
      <c r="B17" s="21" t="s">
        <v>125</v>
      </c>
      <c r="C17" s="23" t="s">
        <v>81</v>
      </c>
      <c r="D17" s="12">
        <v>39770</v>
      </c>
      <c r="E17" s="35" t="s">
        <v>603</v>
      </c>
      <c r="F17" s="35" t="s">
        <v>541</v>
      </c>
      <c r="G17" s="17" t="s">
        <v>623</v>
      </c>
      <c r="H17" s="13"/>
      <c r="I17" s="128" t="s">
        <v>2204</v>
      </c>
      <c r="J17" s="48">
        <v>3</v>
      </c>
    </row>
    <row r="18" spans="1:10" ht="19.5" customHeight="1">
      <c r="A18" s="9">
        <f t="shared" si="0"/>
        <v>12</v>
      </c>
      <c r="B18" s="21" t="s">
        <v>80</v>
      </c>
      <c r="C18" s="23" t="s">
        <v>81</v>
      </c>
      <c r="D18" s="12">
        <v>39700</v>
      </c>
      <c r="E18" s="35" t="s">
        <v>621</v>
      </c>
      <c r="F18" s="35" t="s">
        <v>544</v>
      </c>
      <c r="G18" s="17" t="s">
        <v>622</v>
      </c>
      <c r="H18" s="13"/>
      <c r="I18" s="128" t="s">
        <v>2204</v>
      </c>
      <c r="J18" s="48">
        <v>3</v>
      </c>
    </row>
    <row r="19" spans="1:10" ht="19.5" customHeight="1">
      <c r="A19" s="9">
        <f t="shared" si="0"/>
        <v>13</v>
      </c>
      <c r="B19" s="21" t="s">
        <v>2063</v>
      </c>
      <c r="C19" s="23" t="s">
        <v>81</v>
      </c>
      <c r="D19" s="212" t="s">
        <v>1855</v>
      </c>
      <c r="E19" s="73" t="s">
        <v>688</v>
      </c>
      <c r="F19" s="73" t="s">
        <v>556</v>
      </c>
      <c r="G19" s="95" t="s">
        <v>2189</v>
      </c>
      <c r="H19" s="94" t="s">
        <v>2356</v>
      </c>
      <c r="I19" s="147" t="s">
        <v>2204</v>
      </c>
      <c r="J19" s="48">
        <v>3</v>
      </c>
    </row>
    <row r="20" spans="1:10" ht="19.5" customHeight="1">
      <c r="A20" s="9">
        <f t="shared" si="0"/>
        <v>14</v>
      </c>
      <c r="B20" s="21" t="s">
        <v>529</v>
      </c>
      <c r="C20" s="23" t="s">
        <v>42</v>
      </c>
      <c r="D20" s="12">
        <v>39448</v>
      </c>
      <c r="E20" s="35" t="s">
        <v>595</v>
      </c>
      <c r="F20" s="35" t="s">
        <v>541</v>
      </c>
      <c r="G20" s="17" t="s">
        <v>702</v>
      </c>
      <c r="H20" s="28"/>
      <c r="I20" s="129" t="s">
        <v>2204</v>
      </c>
      <c r="J20" s="48">
        <v>3</v>
      </c>
    </row>
    <row r="21" spans="1:10" ht="19.5" customHeight="1">
      <c r="A21" s="9">
        <f t="shared" si="0"/>
        <v>15</v>
      </c>
      <c r="B21" s="21" t="s">
        <v>84</v>
      </c>
      <c r="C21" s="23" t="s">
        <v>17</v>
      </c>
      <c r="D21" s="12">
        <v>39731</v>
      </c>
      <c r="E21" s="35" t="s">
        <v>611</v>
      </c>
      <c r="F21" s="35" t="s">
        <v>541</v>
      </c>
      <c r="G21" s="17" t="s">
        <v>634</v>
      </c>
      <c r="H21" s="13"/>
      <c r="I21" s="128" t="s">
        <v>2204</v>
      </c>
      <c r="J21" s="48">
        <v>3</v>
      </c>
    </row>
    <row r="22" spans="1:10" ht="19.5" customHeight="1">
      <c r="A22" s="9">
        <f t="shared" si="0"/>
        <v>16</v>
      </c>
      <c r="B22" s="21" t="s">
        <v>127</v>
      </c>
      <c r="C22" s="23" t="s">
        <v>128</v>
      </c>
      <c r="D22" s="12">
        <v>39684</v>
      </c>
      <c r="E22" s="35" t="s">
        <v>972</v>
      </c>
      <c r="F22" s="35" t="s">
        <v>573</v>
      </c>
      <c r="G22" s="17" t="s">
        <v>1677</v>
      </c>
      <c r="H22" s="13"/>
      <c r="I22" s="128" t="s">
        <v>2204</v>
      </c>
      <c r="J22" s="48">
        <v>3</v>
      </c>
    </row>
    <row r="23" spans="1:10" ht="19.5" customHeight="1">
      <c r="A23" s="9">
        <f t="shared" si="0"/>
        <v>17</v>
      </c>
      <c r="B23" s="21" t="s">
        <v>50</v>
      </c>
      <c r="C23" s="23" t="s">
        <v>51</v>
      </c>
      <c r="D23" s="12">
        <v>39325</v>
      </c>
      <c r="E23" s="35" t="s">
        <v>621</v>
      </c>
      <c r="F23" s="35" t="s">
        <v>544</v>
      </c>
      <c r="G23" s="17" t="s">
        <v>639</v>
      </c>
      <c r="H23" s="25"/>
      <c r="I23" s="130" t="s">
        <v>2204</v>
      </c>
      <c r="J23" s="48">
        <v>3</v>
      </c>
    </row>
    <row r="24" spans="1:10" ht="19.5" customHeight="1">
      <c r="A24" s="9">
        <f t="shared" si="0"/>
        <v>18</v>
      </c>
      <c r="B24" s="21" t="s">
        <v>144</v>
      </c>
      <c r="C24" s="23" t="s">
        <v>145</v>
      </c>
      <c r="D24" s="12">
        <v>39764</v>
      </c>
      <c r="E24" s="35" t="s">
        <v>972</v>
      </c>
      <c r="F24" s="35" t="s">
        <v>573</v>
      </c>
      <c r="G24" s="17" t="s">
        <v>1053</v>
      </c>
      <c r="H24" s="25"/>
      <c r="I24" s="130" t="s">
        <v>2204</v>
      </c>
      <c r="J24" s="48">
        <v>3</v>
      </c>
    </row>
    <row r="25" spans="1:10" ht="19.5" customHeight="1">
      <c r="A25" s="9">
        <f t="shared" si="0"/>
        <v>19</v>
      </c>
      <c r="B25" s="21" t="s">
        <v>59</v>
      </c>
      <c r="C25" s="23" t="s">
        <v>60</v>
      </c>
      <c r="D25" s="12">
        <v>39741</v>
      </c>
      <c r="E25" s="35" t="s">
        <v>621</v>
      </c>
      <c r="F25" s="35" t="s">
        <v>544</v>
      </c>
      <c r="G25" s="17" t="s">
        <v>643</v>
      </c>
      <c r="H25" s="25"/>
      <c r="I25" s="130" t="s">
        <v>2204</v>
      </c>
      <c r="J25" s="48">
        <v>3</v>
      </c>
    </row>
    <row r="26" spans="1:10" ht="19.5" customHeight="1">
      <c r="A26" s="9">
        <f t="shared" si="0"/>
        <v>20</v>
      </c>
      <c r="B26" s="21" t="s">
        <v>154</v>
      </c>
      <c r="C26" s="23" t="s">
        <v>155</v>
      </c>
      <c r="D26" s="12">
        <v>39666</v>
      </c>
      <c r="E26" s="35" t="s">
        <v>614</v>
      </c>
      <c r="F26" s="35" t="s">
        <v>573</v>
      </c>
      <c r="G26" s="17" t="s">
        <v>650</v>
      </c>
      <c r="H26" s="25"/>
      <c r="I26" s="130" t="s">
        <v>2204</v>
      </c>
      <c r="J26" s="48">
        <v>3</v>
      </c>
    </row>
    <row r="27" spans="1:10" ht="19.5" customHeight="1">
      <c r="A27" s="9">
        <f t="shared" si="0"/>
        <v>21</v>
      </c>
      <c r="B27" s="21" t="s">
        <v>140</v>
      </c>
      <c r="C27" s="23" t="s">
        <v>9</v>
      </c>
      <c r="D27" s="12">
        <v>39467</v>
      </c>
      <c r="E27" s="35" t="s">
        <v>653</v>
      </c>
      <c r="F27" s="35" t="s">
        <v>544</v>
      </c>
      <c r="G27" s="17" t="s">
        <v>654</v>
      </c>
      <c r="H27" s="25"/>
      <c r="I27" s="130" t="s">
        <v>2204</v>
      </c>
      <c r="J27" s="48">
        <v>3</v>
      </c>
    </row>
    <row r="28" spans="1:10" ht="19.5" customHeight="1">
      <c r="A28" s="9">
        <f t="shared" si="0"/>
        <v>22</v>
      </c>
      <c r="B28" s="21" t="s">
        <v>73</v>
      </c>
      <c r="C28" s="23" t="s">
        <v>74</v>
      </c>
      <c r="D28" s="12">
        <v>39714</v>
      </c>
      <c r="E28" s="35" t="s">
        <v>2238</v>
      </c>
      <c r="F28" s="35" t="s">
        <v>631</v>
      </c>
      <c r="G28" s="17" t="s">
        <v>657</v>
      </c>
      <c r="H28" s="25"/>
      <c r="I28" s="290" t="s">
        <v>3334</v>
      </c>
      <c r="J28" s="48">
        <v>3</v>
      </c>
    </row>
    <row r="29" spans="1:10" ht="19.5" customHeight="1">
      <c r="A29" s="9">
        <f t="shared" si="0"/>
        <v>23</v>
      </c>
      <c r="B29" s="21" t="s">
        <v>1108</v>
      </c>
      <c r="C29" s="23" t="s">
        <v>49</v>
      </c>
      <c r="D29" s="212" t="s">
        <v>1101</v>
      </c>
      <c r="E29" s="35" t="s">
        <v>1691</v>
      </c>
      <c r="F29" s="35" t="s">
        <v>573</v>
      </c>
      <c r="G29" s="76" t="s">
        <v>1716</v>
      </c>
      <c r="H29" s="13" t="s">
        <v>1626</v>
      </c>
      <c r="I29" s="130" t="s">
        <v>2204</v>
      </c>
      <c r="J29" s="48">
        <v>3</v>
      </c>
    </row>
    <row r="30" spans="1:10" ht="19.5" customHeight="1">
      <c r="A30" s="9">
        <f t="shared" si="0"/>
        <v>24</v>
      </c>
      <c r="B30" s="21" t="s">
        <v>1105</v>
      </c>
      <c r="C30" s="23" t="s">
        <v>172</v>
      </c>
      <c r="D30" s="12" t="s">
        <v>1098</v>
      </c>
      <c r="E30" s="35" t="s">
        <v>624</v>
      </c>
      <c r="F30" s="35" t="s">
        <v>541</v>
      </c>
      <c r="G30" s="17" t="s">
        <v>1678</v>
      </c>
      <c r="H30" s="13"/>
      <c r="I30" s="128" t="s">
        <v>2204</v>
      </c>
      <c r="J30" s="48">
        <v>3</v>
      </c>
    </row>
    <row r="31" spans="1:10" ht="19.5" customHeight="1">
      <c r="A31" s="9">
        <f t="shared" si="0"/>
        <v>25</v>
      </c>
      <c r="B31" s="21" t="s">
        <v>18</v>
      </c>
      <c r="C31" s="23" t="s">
        <v>19</v>
      </c>
      <c r="D31" s="12">
        <v>39528</v>
      </c>
      <c r="E31" s="35" t="s">
        <v>665</v>
      </c>
      <c r="F31" s="35" t="s">
        <v>541</v>
      </c>
      <c r="G31" s="17" t="s">
        <v>668</v>
      </c>
      <c r="H31" s="25"/>
      <c r="I31" s="130" t="s">
        <v>2204</v>
      </c>
      <c r="J31" s="48">
        <v>3</v>
      </c>
    </row>
    <row r="32" spans="1:10" ht="19.5" customHeight="1">
      <c r="A32" s="9">
        <f t="shared" si="0"/>
        <v>26</v>
      </c>
      <c r="B32" s="21" t="s">
        <v>1270</v>
      </c>
      <c r="C32" s="23" t="s">
        <v>19</v>
      </c>
      <c r="D32" s="213">
        <v>39529</v>
      </c>
      <c r="E32" s="35" t="s">
        <v>1679</v>
      </c>
      <c r="F32" s="35" t="s">
        <v>556</v>
      </c>
      <c r="G32" s="17" t="s">
        <v>1680</v>
      </c>
      <c r="H32" s="25"/>
      <c r="I32" s="130" t="s">
        <v>2204</v>
      </c>
      <c r="J32" s="48">
        <v>3</v>
      </c>
    </row>
    <row r="33" spans="1:10" ht="19.5" customHeight="1">
      <c r="A33" s="9">
        <f t="shared" si="0"/>
        <v>27</v>
      </c>
      <c r="B33" s="21" t="s">
        <v>1365</v>
      </c>
      <c r="C33" s="23" t="s">
        <v>19</v>
      </c>
      <c r="D33" s="12">
        <v>39678</v>
      </c>
      <c r="E33" s="35" t="s">
        <v>621</v>
      </c>
      <c r="F33" s="35" t="s">
        <v>544</v>
      </c>
      <c r="G33" s="17" t="s">
        <v>1366</v>
      </c>
      <c r="H33" s="13"/>
      <c r="I33" s="128" t="s">
        <v>2241</v>
      </c>
      <c r="J33" s="48">
        <v>3</v>
      </c>
    </row>
    <row r="34" spans="1:10" ht="19.5" customHeight="1">
      <c r="A34" s="9">
        <f t="shared" si="0"/>
        <v>28</v>
      </c>
      <c r="B34" s="21" t="s">
        <v>1106</v>
      </c>
      <c r="C34" s="23" t="s">
        <v>19</v>
      </c>
      <c r="D34" s="12" t="s">
        <v>1099</v>
      </c>
      <c r="E34" s="35" t="s">
        <v>1691</v>
      </c>
      <c r="F34" s="35" t="s">
        <v>573</v>
      </c>
      <c r="G34" s="17" t="s">
        <v>1692</v>
      </c>
      <c r="H34" s="13" t="s">
        <v>1653</v>
      </c>
      <c r="I34" s="128" t="s">
        <v>2204</v>
      </c>
      <c r="J34" s="48">
        <v>3</v>
      </c>
    </row>
    <row r="35" spans="1:10" ht="19.5" customHeight="1">
      <c r="A35" s="9">
        <f t="shared" si="0"/>
        <v>29</v>
      </c>
      <c r="B35" s="21" t="s">
        <v>1103</v>
      </c>
      <c r="C35" s="23" t="s">
        <v>201</v>
      </c>
      <c r="D35" s="212" t="s">
        <v>1096</v>
      </c>
      <c r="E35" s="35" t="s">
        <v>540</v>
      </c>
      <c r="F35" s="35" t="s">
        <v>541</v>
      </c>
      <c r="G35" s="17" t="s">
        <v>2139</v>
      </c>
      <c r="H35" s="25"/>
      <c r="I35" s="128" t="s">
        <v>2204</v>
      </c>
      <c r="J35" s="48">
        <v>3</v>
      </c>
    </row>
    <row r="36" spans="1:10" ht="19.5" customHeight="1">
      <c r="A36" s="9">
        <f t="shared" si="0"/>
        <v>30</v>
      </c>
      <c r="B36" s="21" t="s">
        <v>525</v>
      </c>
      <c r="C36" s="23" t="s">
        <v>418</v>
      </c>
      <c r="D36" s="12">
        <v>39761</v>
      </c>
      <c r="E36" s="35" t="s">
        <v>699</v>
      </c>
      <c r="F36" s="35" t="s">
        <v>556</v>
      </c>
      <c r="G36" s="17" t="s">
        <v>700</v>
      </c>
      <c r="H36" s="28"/>
      <c r="I36" s="129" t="s">
        <v>2204</v>
      </c>
      <c r="J36" s="48">
        <v>3</v>
      </c>
    </row>
    <row r="37" spans="1:10" ht="19.5" customHeight="1">
      <c r="A37" s="9">
        <f t="shared" si="0"/>
        <v>31</v>
      </c>
      <c r="B37" s="21" t="s">
        <v>77</v>
      </c>
      <c r="C37" s="23" t="s">
        <v>78</v>
      </c>
      <c r="D37" s="12">
        <v>39702</v>
      </c>
      <c r="E37" s="35" t="s">
        <v>862</v>
      </c>
      <c r="F37" s="35" t="s">
        <v>573</v>
      </c>
      <c r="G37" s="17" t="s">
        <v>976</v>
      </c>
      <c r="H37" s="13" t="s">
        <v>2040</v>
      </c>
      <c r="I37" s="129" t="s">
        <v>2204</v>
      </c>
      <c r="J37" s="48">
        <v>3</v>
      </c>
    </row>
    <row r="38" spans="1:10" ht="19.5" customHeight="1">
      <c r="A38" s="9">
        <f t="shared" si="0"/>
        <v>32</v>
      </c>
      <c r="B38" s="21" t="s">
        <v>1216</v>
      </c>
      <c r="C38" s="23" t="s">
        <v>98</v>
      </c>
      <c r="D38" s="212" t="s">
        <v>1199</v>
      </c>
      <c r="E38" s="35" t="s">
        <v>637</v>
      </c>
      <c r="F38" s="35" t="s">
        <v>541</v>
      </c>
      <c r="G38" s="17" t="s">
        <v>1681</v>
      </c>
      <c r="H38" s="25"/>
      <c r="I38" s="130" t="s">
        <v>2207</v>
      </c>
      <c r="J38" s="48">
        <v>3</v>
      </c>
    </row>
    <row r="39" spans="1:10" ht="19.5" customHeight="1">
      <c r="A39" s="9">
        <f t="shared" si="0"/>
        <v>33</v>
      </c>
      <c r="B39" s="21" t="s">
        <v>149</v>
      </c>
      <c r="C39" s="23" t="s">
        <v>118</v>
      </c>
      <c r="D39" s="12">
        <v>39470</v>
      </c>
      <c r="E39" s="35" t="s">
        <v>574</v>
      </c>
      <c r="F39" s="35" t="s">
        <v>573</v>
      </c>
      <c r="G39" s="17" t="s">
        <v>1049</v>
      </c>
      <c r="H39" s="25"/>
      <c r="I39" s="128" t="s">
        <v>2204</v>
      </c>
      <c r="J39" s="48">
        <v>3</v>
      </c>
    </row>
    <row r="40" spans="1:10" ht="19.5" customHeight="1">
      <c r="A40" s="9">
        <f t="shared" si="0"/>
        <v>34</v>
      </c>
      <c r="B40" s="21" t="s">
        <v>1116</v>
      </c>
      <c r="C40" s="23" t="s">
        <v>498</v>
      </c>
      <c r="D40" s="12">
        <v>39653</v>
      </c>
      <c r="E40" s="35" t="s">
        <v>648</v>
      </c>
      <c r="F40" s="35" t="s">
        <v>556</v>
      </c>
      <c r="G40" s="17" t="s">
        <v>3524</v>
      </c>
      <c r="H40" s="13"/>
      <c r="I40" s="128" t="s">
        <v>2204</v>
      </c>
      <c r="J40" s="48">
        <v>3</v>
      </c>
    </row>
    <row r="41" spans="1:10" ht="19.5" customHeight="1">
      <c r="A41" s="9">
        <f t="shared" si="0"/>
        <v>35</v>
      </c>
      <c r="B41" s="21" t="s">
        <v>120</v>
      </c>
      <c r="C41" s="23" t="s">
        <v>62</v>
      </c>
      <c r="D41" s="12">
        <v>39730</v>
      </c>
      <c r="E41" s="35" t="s">
        <v>676</v>
      </c>
      <c r="F41" s="35" t="s">
        <v>541</v>
      </c>
      <c r="G41" s="17" t="s">
        <v>677</v>
      </c>
      <c r="H41" s="25" t="s">
        <v>1364</v>
      </c>
      <c r="I41" s="130" t="s">
        <v>2207</v>
      </c>
      <c r="J41" s="48">
        <v>3</v>
      </c>
    </row>
    <row r="42" spans="1:10" ht="19.5" customHeight="1">
      <c r="A42" s="9">
        <f t="shared" si="0"/>
        <v>36</v>
      </c>
      <c r="B42" s="21" t="s">
        <v>119</v>
      </c>
      <c r="C42" s="23" t="s">
        <v>62</v>
      </c>
      <c r="D42" s="12">
        <v>39535</v>
      </c>
      <c r="E42" s="35" t="s">
        <v>972</v>
      </c>
      <c r="F42" s="35" t="s">
        <v>573</v>
      </c>
      <c r="G42" s="17" t="s">
        <v>1517</v>
      </c>
      <c r="H42" s="13"/>
      <c r="I42" s="128" t="s">
        <v>2204</v>
      </c>
      <c r="J42" s="48">
        <v>3</v>
      </c>
    </row>
    <row r="43" spans="1:10" ht="19.5" customHeight="1">
      <c r="A43" s="9">
        <f t="shared" si="0"/>
        <v>37</v>
      </c>
      <c r="B43" s="21" t="s">
        <v>158</v>
      </c>
      <c r="C43" s="23" t="s">
        <v>169</v>
      </c>
      <c r="D43" s="12">
        <v>39562</v>
      </c>
      <c r="E43" s="35" t="s">
        <v>862</v>
      </c>
      <c r="F43" s="35" t="s">
        <v>573</v>
      </c>
      <c r="G43" s="17" t="s">
        <v>992</v>
      </c>
      <c r="H43" s="49" t="s">
        <v>2041</v>
      </c>
      <c r="I43" s="128" t="s">
        <v>2231</v>
      </c>
      <c r="J43" s="48">
        <v>3</v>
      </c>
    </row>
    <row r="44" spans="1:10" ht="19.5" customHeight="1">
      <c r="A44" s="9">
        <f t="shared" si="0"/>
        <v>38</v>
      </c>
      <c r="B44" s="21" t="s">
        <v>32</v>
      </c>
      <c r="C44" s="23" t="s">
        <v>1090</v>
      </c>
      <c r="D44" s="12">
        <v>38943</v>
      </c>
      <c r="E44" s="35" t="s">
        <v>873</v>
      </c>
      <c r="F44" s="35" t="s">
        <v>544</v>
      </c>
      <c r="G44" s="17" t="s">
        <v>2708</v>
      </c>
      <c r="H44" s="25"/>
      <c r="I44" s="128" t="s">
        <v>2204</v>
      </c>
      <c r="J44" s="48">
        <v>3</v>
      </c>
    </row>
    <row r="45" spans="1:10" ht="19.5" customHeight="1">
      <c r="A45" s="9">
        <f t="shared" si="0"/>
        <v>39</v>
      </c>
      <c r="B45" s="21" t="s">
        <v>134</v>
      </c>
      <c r="C45" s="23" t="s">
        <v>135</v>
      </c>
      <c r="D45" s="12">
        <v>39513</v>
      </c>
      <c r="E45" s="35" t="s">
        <v>1436</v>
      </c>
      <c r="F45" s="35" t="s">
        <v>573</v>
      </c>
      <c r="G45" s="17" t="s">
        <v>2709</v>
      </c>
      <c r="H45" s="25"/>
      <c r="I45" s="128" t="s">
        <v>3336</v>
      </c>
    </row>
    <row r="46" spans="1:10" ht="19.5" customHeight="1">
      <c r="A46" s="9">
        <f t="shared" si="0"/>
        <v>40</v>
      </c>
      <c r="B46" s="21" t="s">
        <v>1055</v>
      </c>
      <c r="C46" s="23" t="s">
        <v>163</v>
      </c>
      <c r="D46" s="12">
        <v>39235</v>
      </c>
      <c r="E46" s="35" t="s">
        <v>972</v>
      </c>
      <c r="F46" s="35" t="s">
        <v>573</v>
      </c>
      <c r="G46" s="17" t="s">
        <v>1056</v>
      </c>
      <c r="H46" s="25"/>
      <c r="I46" s="130" t="s">
        <v>2204</v>
      </c>
    </row>
    <row r="47" spans="1:10" ht="19.5" customHeight="1">
      <c r="A47" s="9">
        <f t="shared" si="0"/>
        <v>41</v>
      </c>
      <c r="B47" s="21" t="s">
        <v>148</v>
      </c>
      <c r="C47" s="23" t="s">
        <v>45</v>
      </c>
      <c r="D47" s="12">
        <v>39521</v>
      </c>
      <c r="E47" s="35" t="s">
        <v>685</v>
      </c>
      <c r="F47" s="35" t="s">
        <v>556</v>
      </c>
      <c r="G47" s="17" t="s">
        <v>686</v>
      </c>
      <c r="H47" s="25"/>
      <c r="I47" s="130" t="s">
        <v>2204</v>
      </c>
    </row>
    <row r="48" spans="1:10" ht="19.5" customHeight="1">
      <c r="A48" s="9">
        <f t="shared" si="0"/>
        <v>42</v>
      </c>
      <c r="B48" s="21" t="s">
        <v>126</v>
      </c>
      <c r="C48" s="23" t="s">
        <v>29</v>
      </c>
      <c r="D48" s="12">
        <v>39652</v>
      </c>
      <c r="E48" s="35" t="s">
        <v>1654</v>
      </c>
      <c r="F48" s="35" t="s">
        <v>556</v>
      </c>
      <c r="G48" s="17" t="s">
        <v>690</v>
      </c>
      <c r="H48" s="25"/>
      <c r="I48" s="130" t="s">
        <v>2204</v>
      </c>
    </row>
    <row r="49" spans="1:10" ht="21" customHeight="1">
      <c r="A49" s="9">
        <f t="shared" si="0"/>
        <v>43</v>
      </c>
      <c r="B49" s="21" t="s">
        <v>133</v>
      </c>
      <c r="C49" s="23" t="s">
        <v>111</v>
      </c>
      <c r="D49" s="12">
        <v>39755</v>
      </c>
      <c r="E49" s="35" t="s">
        <v>693</v>
      </c>
      <c r="F49" s="35" t="s">
        <v>556</v>
      </c>
      <c r="G49" s="17" t="s">
        <v>694</v>
      </c>
      <c r="H49" s="25"/>
      <c r="I49" s="130" t="s">
        <v>2204</v>
      </c>
    </row>
    <row r="50" spans="1:10" ht="21" customHeight="1">
      <c r="A50" s="9">
        <f t="shared" si="0"/>
        <v>44</v>
      </c>
      <c r="B50" s="21" t="s">
        <v>1670</v>
      </c>
      <c r="C50" s="23" t="s">
        <v>130</v>
      </c>
      <c r="D50" s="12" t="s">
        <v>2057</v>
      </c>
      <c r="E50" s="35" t="s">
        <v>2344</v>
      </c>
      <c r="F50" s="35" t="s">
        <v>556</v>
      </c>
      <c r="G50" s="17" t="s">
        <v>2829</v>
      </c>
      <c r="H50" s="49" t="s">
        <v>2755</v>
      </c>
      <c r="I50" s="130" t="s">
        <v>2828</v>
      </c>
    </row>
    <row r="51" spans="1:10" ht="21" customHeight="1">
      <c r="A51" s="9">
        <f t="shared" si="0"/>
        <v>45</v>
      </c>
      <c r="B51" s="21" t="s">
        <v>2533</v>
      </c>
      <c r="C51" s="23" t="s">
        <v>498</v>
      </c>
      <c r="D51" s="12" t="s">
        <v>1101</v>
      </c>
      <c r="E51" s="35" t="s">
        <v>579</v>
      </c>
      <c r="F51" s="35" t="s">
        <v>541</v>
      </c>
      <c r="G51" s="17" t="s">
        <v>2718</v>
      </c>
      <c r="H51" s="49" t="s">
        <v>2774</v>
      </c>
      <c r="I51" s="130" t="s">
        <v>2863</v>
      </c>
    </row>
    <row r="52" spans="1:10" s="202" customFormat="1" ht="21" customHeight="1">
      <c r="A52" s="165">
        <f t="shared" si="0"/>
        <v>46</v>
      </c>
      <c r="B52" s="197" t="s">
        <v>3245</v>
      </c>
      <c r="C52" s="104" t="s">
        <v>466</v>
      </c>
      <c r="D52" s="198">
        <v>39441</v>
      </c>
      <c r="E52" s="199" t="s">
        <v>3263</v>
      </c>
      <c r="F52" s="199" t="s">
        <v>556</v>
      </c>
      <c r="G52" s="200" t="s">
        <v>3264</v>
      </c>
      <c r="H52" s="248" t="s">
        <v>3246</v>
      </c>
      <c r="I52" s="130" t="s">
        <v>2204</v>
      </c>
      <c r="J52" s="237"/>
    </row>
    <row r="53" spans="1:10" s="202" customFormat="1" ht="21" customHeight="1">
      <c r="A53" s="165">
        <f t="shared" si="0"/>
        <v>47</v>
      </c>
      <c r="B53" s="197" t="s">
        <v>3247</v>
      </c>
      <c r="C53" s="104" t="s">
        <v>1425</v>
      </c>
      <c r="D53" s="198">
        <v>39665</v>
      </c>
      <c r="E53" s="199" t="s">
        <v>661</v>
      </c>
      <c r="F53" s="199" t="s">
        <v>541</v>
      </c>
      <c r="G53" s="200" t="s">
        <v>3260</v>
      </c>
      <c r="H53" s="248" t="s">
        <v>3246</v>
      </c>
      <c r="I53" s="236" t="s">
        <v>3259</v>
      </c>
      <c r="J53" s="237"/>
    </row>
    <row r="54" spans="1:10" ht="21" customHeight="1">
      <c r="A54" s="165">
        <f t="shared" si="0"/>
        <v>48</v>
      </c>
      <c r="B54" s="21" t="s">
        <v>1208</v>
      </c>
      <c r="C54" s="23" t="s">
        <v>19</v>
      </c>
      <c r="D54" s="12" t="s">
        <v>2649</v>
      </c>
      <c r="E54" s="35" t="s">
        <v>904</v>
      </c>
      <c r="F54" s="35" t="s">
        <v>544</v>
      </c>
      <c r="G54" s="17" t="s">
        <v>3194</v>
      </c>
      <c r="H54" s="49" t="s">
        <v>3270</v>
      </c>
      <c r="I54" s="130" t="s">
        <v>2640</v>
      </c>
      <c r="J54" s="42" t="s">
        <v>2204</v>
      </c>
    </row>
    <row r="55" spans="1:10" ht="21" customHeight="1">
      <c r="A55" s="165">
        <f t="shared" si="0"/>
        <v>49</v>
      </c>
      <c r="B55" s="21" t="s">
        <v>3538</v>
      </c>
      <c r="C55" s="23" t="s">
        <v>2552</v>
      </c>
      <c r="D55" s="12">
        <v>39055</v>
      </c>
      <c r="E55" s="35" t="s">
        <v>873</v>
      </c>
      <c r="F55" s="35" t="s">
        <v>544</v>
      </c>
      <c r="G55" s="17" t="s">
        <v>3545</v>
      </c>
      <c r="H55" s="130" t="s">
        <v>3539</v>
      </c>
      <c r="I55" s="130" t="s">
        <v>3544</v>
      </c>
    </row>
  </sheetData>
  <sortState ref="B7:I49">
    <sortCondition ref="C7:C49"/>
  </sortState>
  <mergeCells count="8">
    <mergeCell ref="B6:C6"/>
    <mergeCell ref="E6:F6"/>
    <mergeCell ref="A1:D1"/>
    <mergeCell ref="E1:H1"/>
    <mergeCell ref="A2:D2"/>
    <mergeCell ref="E2:H2"/>
    <mergeCell ref="A4:H4"/>
    <mergeCell ref="A5:H5"/>
  </mergeCells>
  <pageMargins left="0.2" right="0.2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opLeftCell="A41" workbookViewId="0">
      <selection activeCell="L51" sqref="L51"/>
    </sheetView>
  </sheetViews>
  <sheetFormatPr defaultRowHeight="15"/>
  <cols>
    <col min="1" max="1" width="4.5703125" style="1" customWidth="1"/>
    <col min="2" max="2" width="21.140625" style="1" customWidth="1"/>
    <col min="3" max="3" width="8.7109375" style="1" customWidth="1"/>
    <col min="4" max="4" width="11" style="1" customWidth="1"/>
    <col min="5" max="5" width="19.28515625" style="1" customWidth="1"/>
    <col min="6" max="6" width="13" style="1" customWidth="1"/>
    <col min="7" max="7" width="12.5703125" style="1" customWidth="1"/>
    <col min="8" max="8" width="12.140625" style="1" customWidth="1"/>
    <col min="9" max="9" width="32.7109375" style="148" customWidth="1"/>
    <col min="10" max="10" width="20.140625" style="42" customWidth="1"/>
    <col min="11" max="16384" width="9.140625" style="1"/>
  </cols>
  <sheetData>
    <row r="1" spans="1:11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  <c r="I1" s="106"/>
    </row>
    <row r="2" spans="1:11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  <c r="I2" s="106"/>
    </row>
    <row r="3" spans="1:11" ht="15.75" customHeight="1">
      <c r="A3" s="2"/>
      <c r="B3" s="3"/>
      <c r="C3" s="3"/>
      <c r="D3" s="3"/>
    </row>
    <row r="4" spans="1:11" ht="15.75" customHeight="1">
      <c r="A4" s="308" t="s">
        <v>10</v>
      </c>
      <c r="B4" s="308"/>
      <c r="C4" s="308"/>
      <c r="D4" s="308"/>
      <c r="E4" s="308"/>
      <c r="F4" s="308"/>
      <c r="G4" s="308"/>
      <c r="H4" s="308"/>
      <c r="I4" s="107"/>
    </row>
    <row r="5" spans="1:11" s="4" customFormat="1" ht="23.25" customHeight="1">
      <c r="A5" s="309" t="s">
        <v>1295</v>
      </c>
      <c r="B5" s="309"/>
      <c r="C5" s="309"/>
      <c r="D5" s="309"/>
      <c r="E5" s="309"/>
      <c r="F5" s="309"/>
      <c r="G5" s="309"/>
      <c r="H5" s="309"/>
      <c r="I5" s="108"/>
      <c r="J5" s="47"/>
    </row>
    <row r="6" spans="1:11" s="8" customFormat="1" ht="45.75" customHeight="1">
      <c r="A6" s="5" t="s">
        <v>4</v>
      </c>
      <c r="B6" s="302" t="s">
        <v>5</v>
      </c>
      <c r="C6" s="303"/>
      <c r="D6" s="6" t="s">
        <v>6</v>
      </c>
      <c r="E6" s="304" t="s">
        <v>11</v>
      </c>
      <c r="F6" s="305"/>
      <c r="G6" s="20" t="s">
        <v>226</v>
      </c>
      <c r="H6" s="20" t="s">
        <v>186</v>
      </c>
      <c r="I6" s="109" t="s">
        <v>2219</v>
      </c>
      <c r="J6" s="48"/>
    </row>
    <row r="7" spans="1:11" ht="20.25" customHeight="1">
      <c r="A7" s="9">
        <f t="shared" ref="A7:A55" si="0">ROW()-6</f>
        <v>1</v>
      </c>
      <c r="B7" s="21" t="s">
        <v>182</v>
      </c>
      <c r="C7" s="23" t="s">
        <v>70</v>
      </c>
      <c r="D7" s="12">
        <v>39685</v>
      </c>
      <c r="E7" s="35" t="s">
        <v>605</v>
      </c>
      <c r="F7" s="35" t="s">
        <v>541</v>
      </c>
      <c r="G7" s="17" t="s">
        <v>606</v>
      </c>
      <c r="H7" s="13"/>
      <c r="I7" s="110" t="s">
        <v>2204</v>
      </c>
      <c r="J7" s="48">
        <v>4</v>
      </c>
    </row>
    <row r="8" spans="1:11" ht="20.25" customHeight="1">
      <c r="A8" s="9">
        <f t="shared" si="0"/>
        <v>2</v>
      </c>
      <c r="B8" s="21" t="s">
        <v>156</v>
      </c>
      <c r="C8" s="23" t="s">
        <v>55</v>
      </c>
      <c r="D8" s="12">
        <v>39538</v>
      </c>
      <c r="E8" s="35" t="s">
        <v>609</v>
      </c>
      <c r="F8" s="35" t="s">
        <v>556</v>
      </c>
      <c r="G8" s="17" t="s">
        <v>610</v>
      </c>
      <c r="H8" s="13"/>
      <c r="I8" s="110" t="s">
        <v>2204</v>
      </c>
      <c r="J8" s="48">
        <v>4</v>
      </c>
    </row>
    <row r="9" spans="1:11" ht="20.25" customHeight="1">
      <c r="A9" s="9">
        <f t="shared" si="0"/>
        <v>3</v>
      </c>
      <c r="B9" s="21" t="s">
        <v>14</v>
      </c>
      <c r="C9" s="23" t="s">
        <v>15</v>
      </c>
      <c r="D9" s="12">
        <v>39640</v>
      </c>
      <c r="E9" s="35" t="s">
        <v>592</v>
      </c>
      <c r="F9" s="35" t="s">
        <v>541</v>
      </c>
      <c r="G9" s="17" t="s">
        <v>2294</v>
      </c>
      <c r="H9" s="13"/>
      <c r="I9" s="110" t="s">
        <v>2204</v>
      </c>
      <c r="J9" s="48">
        <v>4</v>
      </c>
    </row>
    <row r="10" spans="1:11" ht="20.25" customHeight="1">
      <c r="A10" s="9">
        <f t="shared" si="0"/>
        <v>4</v>
      </c>
      <c r="B10" s="21" t="s">
        <v>150</v>
      </c>
      <c r="C10" s="23" t="s">
        <v>36</v>
      </c>
      <c r="D10" s="12">
        <v>39779</v>
      </c>
      <c r="E10" s="35" t="s">
        <v>616</v>
      </c>
      <c r="F10" s="35" t="s">
        <v>573</v>
      </c>
      <c r="G10" s="17" t="s">
        <v>617</v>
      </c>
      <c r="H10" s="13"/>
      <c r="I10" s="110" t="s">
        <v>2204</v>
      </c>
      <c r="J10" s="48">
        <v>4</v>
      </c>
    </row>
    <row r="11" spans="1:11" ht="20.25" customHeight="1">
      <c r="A11" s="9">
        <f t="shared" si="0"/>
        <v>5</v>
      </c>
      <c r="B11" s="21" t="s">
        <v>143</v>
      </c>
      <c r="C11" s="23" t="s">
        <v>36</v>
      </c>
      <c r="D11" s="12">
        <v>39681</v>
      </c>
      <c r="E11" s="35" t="s">
        <v>653</v>
      </c>
      <c r="F11" s="35" t="s">
        <v>544</v>
      </c>
      <c r="G11" s="17" t="s">
        <v>1059</v>
      </c>
      <c r="H11" s="13"/>
      <c r="I11" s="110" t="s">
        <v>2204</v>
      </c>
      <c r="J11" s="48">
        <v>4</v>
      </c>
    </row>
    <row r="12" spans="1:11" ht="20.25" customHeight="1">
      <c r="A12" s="9">
        <f t="shared" si="0"/>
        <v>6</v>
      </c>
      <c r="B12" s="21" t="s">
        <v>1217</v>
      </c>
      <c r="C12" s="23" t="s">
        <v>81</v>
      </c>
      <c r="D12" s="12" t="s">
        <v>1225</v>
      </c>
      <c r="E12" s="35" t="s">
        <v>658</v>
      </c>
      <c r="F12" s="35" t="s">
        <v>573</v>
      </c>
      <c r="G12" s="17" t="s">
        <v>1682</v>
      </c>
      <c r="H12" s="13"/>
      <c r="I12" s="110" t="s">
        <v>2204</v>
      </c>
      <c r="J12" s="48">
        <v>4</v>
      </c>
    </row>
    <row r="13" spans="1:11" ht="20.25" customHeight="1">
      <c r="A13" s="9">
        <f t="shared" si="0"/>
        <v>7</v>
      </c>
      <c r="B13" s="21" t="s">
        <v>141</v>
      </c>
      <c r="C13" s="23" t="s">
        <v>27</v>
      </c>
      <c r="D13" s="12">
        <v>39764</v>
      </c>
      <c r="E13" s="35" t="s">
        <v>624</v>
      </c>
      <c r="F13" s="35" t="s">
        <v>553</v>
      </c>
      <c r="G13" s="17" t="s">
        <v>625</v>
      </c>
      <c r="H13" s="13"/>
      <c r="I13" s="110" t="s">
        <v>2204</v>
      </c>
      <c r="J13" s="48">
        <v>4</v>
      </c>
    </row>
    <row r="14" spans="1:11" ht="20.25" customHeight="1">
      <c r="A14" s="9">
        <f t="shared" si="0"/>
        <v>8</v>
      </c>
      <c r="B14" s="21" t="s">
        <v>112</v>
      </c>
      <c r="C14" s="23" t="s">
        <v>42</v>
      </c>
      <c r="D14" s="12">
        <v>39639</v>
      </c>
      <c r="E14" s="35" t="s">
        <v>628</v>
      </c>
      <c r="F14" s="35" t="s">
        <v>631</v>
      </c>
      <c r="G14" s="17" t="s">
        <v>632</v>
      </c>
      <c r="H14" s="13"/>
      <c r="I14" s="268" t="s">
        <v>3334</v>
      </c>
      <c r="J14" s="48">
        <v>4</v>
      </c>
      <c r="K14" s="1" t="str">
        <f t="shared" ref="K14:K20" si="1">PROPER(C14)</f>
        <v>Hiếu</v>
      </c>
    </row>
    <row r="15" spans="1:11" ht="20.25" customHeight="1">
      <c r="A15" s="9">
        <f t="shared" si="0"/>
        <v>9</v>
      </c>
      <c r="B15" s="21" t="s">
        <v>147</v>
      </c>
      <c r="C15" s="23" t="s">
        <v>17</v>
      </c>
      <c r="D15" s="12">
        <v>39682</v>
      </c>
      <c r="E15" s="35" t="s">
        <v>614</v>
      </c>
      <c r="F15" s="35" t="s">
        <v>573</v>
      </c>
      <c r="G15" s="17" t="s">
        <v>635</v>
      </c>
      <c r="H15" s="13"/>
      <c r="I15" s="110" t="s">
        <v>2204</v>
      </c>
      <c r="J15" s="48">
        <v>4</v>
      </c>
      <c r="K15" s="1" t="str">
        <f t="shared" si="1"/>
        <v>Hoàng</v>
      </c>
    </row>
    <row r="16" spans="1:11" ht="20.25" customHeight="1">
      <c r="A16" s="9">
        <f t="shared" si="0"/>
        <v>10</v>
      </c>
      <c r="B16" s="21" t="s">
        <v>46</v>
      </c>
      <c r="C16" s="23" t="s">
        <v>116</v>
      </c>
      <c r="D16" s="12">
        <v>39637</v>
      </c>
      <c r="E16" s="35" t="s">
        <v>966</v>
      </c>
      <c r="F16" s="35" t="s">
        <v>553</v>
      </c>
      <c r="G16" s="17" t="s">
        <v>967</v>
      </c>
      <c r="H16" s="13"/>
      <c r="I16" s="110" t="s">
        <v>2204</v>
      </c>
      <c r="J16" s="48">
        <v>4</v>
      </c>
      <c r="K16" s="1" t="str">
        <f t="shared" si="1"/>
        <v>Hội</v>
      </c>
    </row>
    <row r="17" spans="1:11" ht="20.25" customHeight="1">
      <c r="A17" s="9">
        <f t="shared" si="0"/>
        <v>11</v>
      </c>
      <c r="B17" s="21" t="s">
        <v>142</v>
      </c>
      <c r="C17" s="23" t="s">
        <v>128</v>
      </c>
      <c r="D17" s="12">
        <v>39679</v>
      </c>
      <c r="E17" s="35" t="s">
        <v>1057</v>
      </c>
      <c r="F17" s="35" t="s">
        <v>544</v>
      </c>
      <c r="G17" s="17" t="s">
        <v>1058</v>
      </c>
      <c r="H17" s="13"/>
      <c r="I17" s="110" t="s">
        <v>2204</v>
      </c>
      <c r="J17" s="48">
        <v>4</v>
      </c>
      <c r="K17" s="1" t="str">
        <f t="shared" si="1"/>
        <v>Huy</v>
      </c>
    </row>
    <row r="18" spans="1:11" ht="20.25" customHeight="1">
      <c r="A18" s="9">
        <f t="shared" si="0"/>
        <v>12</v>
      </c>
      <c r="B18" s="21" t="s">
        <v>521</v>
      </c>
      <c r="C18" s="23" t="s">
        <v>128</v>
      </c>
      <c r="D18" s="12">
        <v>39650</v>
      </c>
      <c r="E18" s="35" t="s">
        <v>697</v>
      </c>
      <c r="F18" s="35" t="s">
        <v>556</v>
      </c>
      <c r="G18" s="17" t="s">
        <v>698</v>
      </c>
      <c r="H18" s="13"/>
      <c r="I18" s="110" t="s">
        <v>3298</v>
      </c>
      <c r="J18" s="48">
        <v>4</v>
      </c>
      <c r="K18" s="1" t="str">
        <f t="shared" si="1"/>
        <v>Huy</v>
      </c>
    </row>
    <row r="19" spans="1:11" ht="20.25" customHeight="1">
      <c r="A19" s="9">
        <f t="shared" si="0"/>
        <v>13</v>
      </c>
      <c r="B19" s="21" t="s">
        <v>114</v>
      </c>
      <c r="C19" s="23" t="s">
        <v>115</v>
      </c>
      <c r="D19" s="12">
        <v>39658</v>
      </c>
      <c r="E19" s="35" t="s">
        <v>1640</v>
      </c>
      <c r="F19" s="35" t="s">
        <v>541</v>
      </c>
      <c r="G19" s="17" t="s">
        <v>965</v>
      </c>
      <c r="H19" s="13"/>
      <c r="I19" s="110" t="s">
        <v>2204</v>
      </c>
      <c r="J19" s="48">
        <v>4</v>
      </c>
      <c r="K19" s="1" t="str">
        <f t="shared" si="1"/>
        <v>Khải</v>
      </c>
    </row>
    <row r="20" spans="1:11" ht="20.25" customHeight="1">
      <c r="A20" s="9">
        <f t="shared" si="0"/>
        <v>14</v>
      </c>
      <c r="B20" s="21" t="s">
        <v>146</v>
      </c>
      <c r="C20" s="23" t="s">
        <v>145</v>
      </c>
      <c r="D20" s="12">
        <v>39728</v>
      </c>
      <c r="E20" s="35" t="s">
        <v>614</v>
      </c>
      <c r="F20" s="35" t="s">
        <v>573</v>
      </c>
      <c r="G20" s="17" t="s">
        <v>641</v>
      </c>
      <c r="H20" s="13"/>
      <c r="I20" s="110" t="s">
        <v>2204</v>
      </c>
      <c r="J20" s="48">
        <v>4</v>
      </c>
      <c r="K20" s="1" t="str">
        <f t="shared" si="1"/>
        <v>Khánh</v>
      </c>
    </row>
    <row r="21" spans="1:11" ht="20.25" customHeight="1">
      <c r="A21" s="9">
        <f t="shared" si="0"/>
        <v>15</v>
      </c>
      <c r="B21" s="21" t="s">
        <v>527</v>
      </c>
      <c r="C21" s="23" t="s">
        <v>145</v>
      </c>
      <c r="D21" s="12">
        <v>39693</v>
      </c>
      <c r="E21" s="35" t="s">
        <v>1683</v>
      </c>
      <c r="F21" s="35" t="s">
        <v>553</v>
      </c>
      <c r="G21" s="17" t="s">
        <v>1684</v>
      </c>
      <c r="H21" s="13"/>
      <c r="I21" s="110" t="s">
        <v>2204</v>
      </c>
      <c r="J21" s="48">
        <v>4</v>
      </c>
      <c r="K21" s="1" t="str">
        <f>PROPER(CN11A5!C23)</f>
        <v>Huy</v>
      </c>
    </row>
    <row r="22" spans="1:11" ht="20.25" customHeight="1">
      <c r="A22" s="9">
        <f t="shared" si="0"/>
        <v>16</v>
      </c>
      <c r="B22" s="21" t="s">
        <v>82</v>
      </c>
      <c r="C22" s="23" t="s">
        <v>83</v>
      </c>
      <c r="D22" s="12">
        <v>39512</v>
      </c>
      <c r="E22" s="35" t="s">
        <v>649</v>
      </c>
      <c r="F22" s="35" t="s">
        <v>553</v>
      </c>
      <c r="G22" s="17" t="s">
        <v>1685</v>
      </c>
      <c r="H22" s="13"/>
      <c r="I22" s="110" t="s">
        <v>2204</v>
      </c>
      <c r="J22" s="48">
        <v>4</v>
      </c>
      <c r="K22" s="1" t="str">
        <f>PROPER(C22)</f>
        <v>Khôi</v>
      </c>
    </row>
    <row r="23" spans="1:11" ht="20.25" customHeight="1">
      <c r="A23" s="9">
        <f t="shared" si="0"/>
        <v>17</v>
      </c>
      <c r="B23" s="21" t="s">
        <v>107</v>
      </c>
      <c r="C23" s="23" t="s">
        <v>108</v>
      </c>
      <c r="D23" s="12">
        <v>39635</v>
      </c>
      <c r="E23" s="35" t="s">
        <v>646</v>
      </c>
      <c r="F23" s="35" t="s">
        <v>556</v>
      </c>
      <c r="G23" s="17" t="s">
        <v>645</v>
      </c>
      <c r="H23" s="13"/>
      <c r="I23" s="110" t="s">
        <v>2204</v>
      </c>
      <c r="J23" s="48">
        <v>4</v>
      </c>
      <c r="K23" s="1" t="str">
        <f>PROPER(C23)</f>
        <v>Kiên</v>
      </c>
    </row>
    <row r="24" spans="1:11" ht="20.25" customHeight="1">
      <c r="A24" s="9">
        <f t="shared" si="0"/>
        <v>18</v>
      </c>
      <c r="B24" s="21" t="s">
        <v>33</v>
      </c>
      <c r="C24" s="23" t="s">
        <v>34</v>
      </c>
      <c r="D24" s="12">
        <v>39614</v>
      </c>
      <c r="E24" s="35" t="s">
        <v>1057</v>
      </c>
      <c r="F24" s="35" t="s">
        <v>544</v>
      </c>
      <c r="G24" s="17" t="s">
        <v>1686</v>
      </c>
      <c r="H24" s="13"/>
      <c r="I24" s="110" t="s">
        <v>2204</v>
      </c>
      <c r="J24" s="48">
        <v>4</v>
      </c>
      <c r="K24" s="1" t="str">
        <f>PROPER(C24)</f>
        <v>Kiệt</v>
      </c>
    </row>
    <row r="25" spans="1:11" ht="20.25" customHeight="1">
      <c r="A25" s="9">
        <f t="shared" si="0"/>
        <v>19</v>
      </c>
      <c r="B25" s="21" t="s">
        <v>153</v>
      </c>
      <c r="C25" s="23" t="s">
        <v>90</v>
      </c>
      <c r="D25" s="12">
        <v>39719</v>
      </c>
      <c r="E25" s="35" t="s">
        <v>588</v>
      </c>
      <c r="F25" s="35" t="s">
        <v>573</v>
      </c>
      <c r="G25" s="17" t="s">
        <v>1052</v>
      </c>
      <c r="H25" s="13"/>
      <c r="I25" s="110" t="s">
        <v>2291</v>
      </c>
      <c r="J25" s="48">
        <v>4</v>
      </c>
      <c r="K25" s="1" t="str">
        <f>PROPER(C25)</f>
        <v>Long</v>
      </c>
    </row>
    <row r="26" spans="1:11" ht="20.25" customHeight="1">
      <c r="A26" s="9">
        <f t="shared" si="0"/>
        <v>20</v>
      </c>
      <c r="B26" s="21" t="s">
        <v>160</v>
      </c>
      <c r="C26" s="23" t="s">
        <v>161</v>
      </c>
      <c r="D26" s="12">
        <v>39600</v>
      </c>
      <c r="E26" s="35" t="s">
        <v>611</v>
      </c>
      <c r="F26" s="35" t="s">
        <v>541</v>
      </c>
      <c r="G26" s="17" t="s">
        <v>651</v>
      </c>
      <c r="H26" s="13"/>
      <c r="I26" s="110" t="s">
        <v>2207</v>
      </c>
      <c r="J26" s="48">
        <v>4</v>
      </c>
      <c r="K26" s="1" t="str">
        <f>PROPER(C26)</f>
        <v>Mạnh</v>
      </c>
    </row>
    <row r="27" spans="1:11" ht="20.25" customHeight="1">
      <c r="A27" s="9">
        <f t="shared" si="0"/>
        <v>21</v>
      </c>
      <c r="B27" s="21" t="s">
        <v>1522</v>
      </c>
      <c r="C27" s="23" t="s">
        <v>92</v>
      </c>
      <c r="D27" s="12">
        <v>39606</v>
      </c>
      <c r="E27" s="35" t="s">
        <v>1687</v>
      </c>
      <c r="F27" s="35" t="s">
        <v>549</v>
      </c>
      <c r="G27" s="17" t="s">
        <v>1688</v>
      </c>
      <c r="H27" s="13" t="s">
        <v>1602</v>
      </c>
      <c r="I27" s="110" t="s">
        <v>2204</v>
      </c>
      <c r="J27" s="48" t="s">
        <v>1516</v>
      </c>
    </row>
    <row r="28" spans="1:11" ht="20.25" customHeight="1">
      <c r="A28" s="9">
        <f t="shared" si="0"/>
        <v>22</v>
      </c>
      <c r="B28" s="21" t="s">
        <v>174</v>
      </c>
      <c r="C28" s="23" t="s">
        <v>74</v>
      </c>
      <c r="D28" s="12">
        <v>39733</v>
      </c>
      <c r="E28" s="35" t="s">
        <v>659</v>
      </c>
      <c r="F28" s="35" t="s">
        <v>556</v>
      </c>
      <c r="G28" s="17" t="s">
        <v>660</v>
      </c>
      <c r="H28" s="13"/>
      <c r="I28" s="110" t="s">
        <v>2204</v>
      </c>
      <c r="J28" s="48">
        <v>4</v>
      </c>
      <c r="K28" s="1" t="str">
        <f>PROPER(C28)</f>
        <v>Nhật</v>
      </c>
    </row>
    <row r="29" spans="1:11" ht="20.25" customHeight="1">
      <c r="A29" s="9">
        <f t="shared" si="0"/>
        <v>23</v>
      </c>
      <c r="B29" s="21" t="s">
        <v>1084</v>
      </c>
      <c r="C29" s="23" t="s">
        <v>74</v>
      </c>
      <c r="D29" s="12">
        <v>39528</v>
      </c>
      <c r="E29" s="35" t="s">
        <v>658</v>
      </c>
      <c r="F29" s="35" t="s">
        <v>573</v>
      </c>
      <c r="G29" s="17" t="s">
        <v>1689</v>
      </c>
      <c r="H29" s="13"/>
      <c r="I29" s="110" t="s">
        <v>2204</v>
      </c>
      <c r="J29" s="48">
        <v>4</v>
      </c>
      <c r="K29" s="1" t="str">
        <f>PROPER(C29)</f>
        <v>Nhật</v>
      </c>
    </row>
    <row r="30" spans="1:11" ht="20.25" customHeight="1">
      <c r="A30" s="9">
        <f t="shared" si="0"/>
        <v>24</v>
      </c>
      <c r="B30" s="21" t="s">
        <v>75</v>
      </c>
      <c r="C30" s="23" t="s">
        <v>76</v>
      </c>
      <c r="D30" s="12">
        <v>39801</v>
      </c>
      <c r="E30" s="35" t="s">
        <v>661</v>
      </c>
      <c r="F30" s="35" t="s">
        <v>541</v>
      </c>
      <c r="G30" s="17" t="s">
        <v>663</v>
      </c>
      <c r="H30" s="13"/>
      <c r="I30" s="110" t="s">
        <v>3333</v>
      </c>
      <c r="J30" s="48">
        <v>4</v>
      </c>
      <c r="K30" s="1" t="str">
        <f>PROPER(C30)</f>
        <v>Phi</v>
      </c>
    </row>
    <row r="31" spans="1:11" ht="20.25" customHeight="1">
      <c r="A31" s="9">
        <f t="shared" si="0"/>
        <v>25</v>
      </c>
      <c r="B31" s="21" t="s">
        <v>48</v>
      </c>
      <c r="C31" s="23" t="s">
        <v>49</v>
      </c>
      <c r="D31" s="12">
        <v>39773</v>
      </c>
      <c r="E31" s="35" t="s">
        <v>1065</v>
      </c>
      <c r="F31" s="35" t="s">
        <v>544</v>
      </c>
      <c r="G31" s="17" t="s">
        <v>1690</v>
      </c>
      <c r="H31" s="13"/>
      <c r="I31" s="110" t="s">
        <v>2204</v>
      </c>
      <c r="J31" s="48">
        <v>4</v>
      </c>
      <c r="K31" s="1" t="str">
        <f>PROPER(C31)</f>
        <v>Phong</v>
      </c>
    </row>
    <row r="32" spans="1:11" ht="20.25" customHeight="1">
      <c r="A32" s="9">
        <f t="shared" si="0"/>
        <v>26</v>
      </c>
      <c r="B32" s="21" t="s">
        <v>176</v>
      </c>
      <c r="C32" s="23" t="s">
        <v>49</v>
      </c>
      <c r="D32" s="12">
        <v>39530</v>
      </c>
      <c r="E32" s="35" t="s">
        <v>1755</v>
      </c>
      <c r="F32" s="35" t="s">
        <v>556</v>
      </c>
      <c r="G32" s="17" t="s">
        <v>1006</v>
      </c>
      <c r="H32" s="13"/>
      <c r="I32" s="110" t="s">
        <v>2204</v>
      </c>
      <c r="J32" s="48">
        <v>4</v>
      </c>
      <c r="K32" s="1" t="str">
        <f>PROPER(CN11A1!C26)</f>
        <v>Linh</v>
      </c>
    </row>
    <row r="33" spans="1:11" ht="20.25" customHeight="1">
      <c r="A33" s="9">
        <f t="shared" si="0"/>
        <v>27</v>
      </c>
      <c r="B33" s="21" t="s">
        <v>113</v>
      </c>
      <c r="C33" s="23" t="s">
        <v>19</v>
      </c>
      <c r="D33" s="12">
        <v>39555</v>
      </c>
      <c r="E33" s="35" t="s">
        <v>666</v>
      </c>
      <c r="F33" s="35" t="s">
        <v>556</v>
      </c>
      <c r="G33" s="17" t="s">
        <v>669</v>
      </c>
      <c r="H33" s="13"/>
      <c r="I33" s="110" t="s">
        <v>2204</v>
      </c>
      <c r="J33" s="48">
        <v>4</v>
      </c>
      <c r="K33" s="1" t="str">
        <f t="shared" ref="K33:K46" si="2">PROPER(C33)</f>
        <v>Phúc</v>
      </c>
    </row>
    <row r="34" spans="1:11" ht="20.25" customHeight="1">
      <c r="A34" s="9">
        <f t="shared" si="0"/>
        <v>28</v>
      </c>
      <c r="B34" s="21" t="s">
        <v>1107</v>
      </c>
      <c r="C34" s="23" t="s">
        <v>532</v>
      </c>
      <c r="D34" s="12" t="s">
        <v>1100</v>
      </c>
      <c r="E34" s="35" t="s">
        <v>1691</v>
      </c>
      <c r="F34" s="35" t="s">
        <v>573</v>
      </c>
      <c r="G34" s="17" t="s">
        <v>1693</v>
      </c>
      <c r="H34" s="13"/>
      <c r="I34" s="268" t="s">
        <v>3335</v>
      </c>
      <c r="J34" s="48">
        <v>4</v>
      </c>
      <c r="K34" s="1" t="str">
        <f t="shared" si="2"/>
        <v>Phước</v>
      </c>
    </row>
    <row r="35" spans="1:11" ht="20.25" customHeight="1">
      <c r="A35" s="9">
        <f t="shared" si="0"/>
        <v>29</v>
      </c>
      <c r="B35" s="21" t="s">
        <v>63</v>
      </c>
      <c r="C35" s="23" t="s">
        <v>64</v>
      </c>
      <c r="D35" s="12">
        <v>39727</v>
      </c>
      <c r="E35" s="35" t="s">
        <v>618</v>
      </c>
      <c r="F35" s="35" t="s">
        <v>541</v>
      </c>
      <c r="G35" s="17" t="s">
        <v>671</v>
      </c>
      <c r="H35" s="13"/>
      <c r="I35" s="110" t="s">
        <v>2204</v>
      </c>
      <c r="J35" s="48">
        <v>4</v>
      </c>
      <c r="K35" s="1" t="str">
        <f t="shared" si="2"/>
        <v>Quang</v>
      </c>
    </row>
    <row r="36" spans="1:11" ht="20.25" customHeight="1">
      <c r="A36" s="9">
        <f t="shared" si="0"/>
        <v>30</v>
      </c>
      <c r="B36" s="21" t="s">
        <v>1191</v>
      </c>
      <c r="C36" s="23" t="s">
        <v>64</v>
      </c>
      <c r="D36" s="40" t="s">
        <v>1187</v>
      </c>
      <c r="E36" s="73" t="s">
        <v>628</v>
      </c>
      <c r="F36" s="73" t="s">
        <v>631</v>
      </c>
      <c r="G36" s="74" t="s">
        <v>1646</v>
      </c>
      <c r="H36" s="49" t="s">
        <v>1518</v>
      </c>
      <c r="I36" s="268" t="s">
        <v>3334</v>
      </c>
      <c r="J36" s="1" t="str">
        <f t="shared" ref="J36:J46" si="3">PROPER(B36)</f>
        <v>Trần Minh</v>
      </c>
      <c r="K36" s="1" t="str">
        <f t="shared" si="2"/>
        <v>Quang</v>
      </c>
    </row>
    <row r="37" spans="1:11" ht="20.25" customHeight="1">
      <c r="A37" s="9">
        <f t="shared" si="0"/>
        <v>31</v>
      </c>
      <c r="B37" s="21" t="s">
        <v>158</v>
      </c>
      <c r="C37" s="23" t="s">
        <v>159</v>
      </c>
      <c r="D37" s="12">
        <v>39512</v>
      </c>
      <c r="E37" s="35" t="s">
        <v>1050</v>
      </c>
      <c r="F37" s="35" t="s">
        <v>541</v>
      </c>
      <c r="G37" s="17" t="s">
        <v>1051</v>
      </c>
      <c r="H37" s="13"/>
      <c r="I37" s="110" t="s">
        <v>2292</v>
      </c>
      <c r="J37" s="1" t="str">
        <f t="shared" si="3"/>
        <v xml:space="preserve">Hồ Xuân </v>
      </c>
      <c r="K37" s="1" t="str">
        <f t="shared" si="2"/>
        <v>Quyền</v>
      </c>
    </row>
    <row r="38" spans="1:11" ht="20.25" customHeight="1">
      <c r="A38" s="9">
        <f t="shared" si="0"/>
        <v>32</v>
      </c>
      <c r="B38" s="21" t="s">
        <v>95</v>
      </c>
      <c r="C38" s="23" t="s">
        <v>183</v>
      </c>
      <c r="D38" s="12">
        <v>39526</v>
      </c>
      <c r="E38" s="35" t="s">
        <v>659</v>
      </c>
      <c r="F38" s="35" t="s">
        <v>556</v>
      </c>
      <c r="G38" s="17" t="s">
        <v>674</v>
      </c>
      <c r="H38" s="13"/>
      <c r="I38" s="110" t="s">
        <v>2204</v>
      </c>
      <c r="J38" s="1" t="str">
        <f t="shared" si="3"/>
        <v xml:space="preserve">Nguyễn Văn </v>
      </c>
      <c r="K38" s="1" t="str">
        <f t="shared" si="2"/>
        <v>Thảo</v>
      </c>
    </row>
    <row r="39" spans="1:11" ht="20.25" customHeight="1">
      <c r="A39" s="9">
        <f t="shared" si="0"/>
        <v>33</v>
      </c>
      <c r="B39" s="21" t="s">
        <v>61</v>
      </c>
      <c r="C39" s="23" t="s">
        <v>62</v>
      </c>
      <c r="D39" s="12">
        <v>39573</v>
      </c>
      <c r="E39" s="35" t="s">
        <v>984</v>
      </c>
      <c r="F39" s="35" t="s">
        <v>544</v>
      </c>
      <c r="G39" s="17" t="s">
        <v>985</v>
      </c>
      <c r="H39" s="13"/>
      <c r="I39" s="110" t="s">
        <v>2204</v>
      </c>
      <c r="J39" s="1" t="str">
        <f t="shared" si="3"/>
        <v xml:space="preserve">Hà Văn </v>
      </c>
      <c r="K39" s="1" t="str">
        <f t="shared" si="2"/>
        <v>Thiện</v>
      </c>
    </row>
    <row r="40" spans="1:11" ht="20.25" customHeight="1">
      <c r="A40" s="9">
        <f t="shared" si="0"/>
        <v>34</v>
      </c>
      <c r="B40" s="21" t="s">
        <v>129</v>
      </c>
      <c r="C40" s="23" t="s">
        <v>130</v>
      </c>
      <c r="D40" s="12">
        <v>39227</v>
      </c>
      <c r="E40" s="35" t="s">
        <v>681</v>
      </c>
      <c r="F40" s="35" t="s">
        <v>544</v>
      </c>
      <c r="G40" s="17" t="s">
        <v>682</v>
      </c>
      <c r="H40" s="13" t="s">
        <v>567</v>
      </c>
      <c r="I40" s="110" t="s">
        <v>2204</v>
      </c>
      <c r="J40" s="1" t="str">
        <f t="shared" si="3"/>
        <v xml:space="preserve">Châu Văn </v>
      </c>
      <c r="K40" s="1" t="str">
        <f t="shared" si="2"/>
        <v>Toàn</v>
      </c>
    </row>
    <row r="41" spans="1:11" ht="20.25" customHeight="1">
      <c r="A41" s="9">
        <f t="shared" si="0"/>
        <v>35</v>
      </c>
      <c r="B41" s="21" t="s">
        <v>105</v>
      </c>
      <c r="C41" s="23" t="s">
        <v>106</v>
      </c>
      <c r="D41" s="12">
        <v>39605</v>
      </c>
      <c r="E41" s="35" t="s">
        <v>962</v>
      </c>
      <c r="F41" s="35" t="s">
        <v>544</v>
      </c>
      <c r="G41" s="17" t="s">
        <v>963</v>
      </c>
      <c r="H41" s="13"/>
      <c r="I41" s="110" t="s">
        <v>2204</v>
      </c>
      <c r="J41" s="1" t="str">
        <f t="shared" si="3"/>
        <v xml:space="preserve">Phạm Nguyễn Viết </v>
      </c>
      <c r="K41" s="1" t="str">
        <f t="shared" si="2"/>
        <v>Trọng</v>
      </c>
    </row>
    <row r="42" spans="1:11" ht="20.25" customHeight="1">
      <c r="A42" s="9">
        <f t="shared" si="0"/>
        <v>36</v>
      </c>
      <c r="B42" s="21" t="s">
        <v>67</v>
      </c>
      <c r="C42" s="23" t="s">
        <v>68</v>
      </c>
      <c r="D42" s="12">
        <v>39577</v>
      </c>
      <c r="E42" s="35" t="s">
        <v>968</v>
      </c>
      <c r="F42" s="35" t="s">
        <v>573</v>
      </c>
      <c r="G42" s="17" t="s">
        <v>969</v>
      </c>
      <c r="H42" s="13" t="s">
        <v>1518</v>
      </c>
      <c r="I42" s="110" t="s">
        <v>2204</v>
      </c>
      <c r="J42" s="1" t="str">
        <f t="shared" si="3"/>
        <v xml:space="preserve">Lê Ngọc Nhật </v>
      </c>
      <c r="K42" s="1" t="str">
        <f t="shared" si="2"/>
        <v>Trường</v>
      </c>
    </row>
    <row r="43" spans="1:11" ht="20.25" customHeight="1">
      <c r="A43" s="9">
        <f t="shared" si="0"/>
        <v>37</v>
      </c>
      <c r="B43" s="21" t="s">
        <v>39</v>
      </c>
      <c r="C43" s="23" t="s">
        <v>40</v>
      </c>
      <c r="D43" s="12">
        <v>39335</v>
      </c>
      <c r="E43" s="35" t="s">
        <v>688</v>
      </c>
      <c r="F43" s="35" t="s">
        <v>556</v>
      </c>
      <c r="G43" s="17" t="s">
        <v>689</v>
      </c>
      <c r="H43" s="13" t="s">
        <v>578</v>
      </c>
      <c r="I43" s="110" t="s">
        <v>2204</v>
      </c>
      <c r="J43" s="1" t="str">
        <f t="shared" si="3"/>
        <v xml:space="preserve">Lê Văn </v>
      </c>
      <c r="K43" s="1" t="str">
        <f t="shared" si="2"/>
        <v>Tùng</v>
      </c>
    </row>
    <row r="44" spans="1:11" ht="20.25" customHeight="1">
      <c r="A44" s="9">
        <f t="shared" si="0"/>
        <v>38</v>
      </c>
      <c r="B44" s="21" t="s">
        <v>1136</v>
      </c>
      <c r="C44" s="23" t="s">
        <v>111</v>
      </c>
      <c r="D44" s="34" t="s">
        <v>1131</v>
      </c>
      <c r="E44" s="35" t="s">
        <v>688</v>
      </c>
      <c r="F44" s="35" t="s">
        <v>556</v>
      </c>
      <c r="G44" s="17" t="s">
        <v>2143</v>
      </c>
      <c r="H44" s="13" t="s">
        <v>1626</v>
      </c>
      <c r="I44" s="110" t="s">
        <v>2204</v>
      </c>
      <c r="J44" s="1" t="str">
        <f t="shared" si="3"/>
        <v>Huỳnh Đức</v>
      </c>
      <c r="K44" s="1" t="str">
        <f t="shared" si="2"/>
        <v>Vũ</v>
      </c>
    </row>
    <row r="45" spans="1:11" ht="20.25" customHeight="1">
      <c r="A45" s="9">
        <f t="shared" si="0"/>
        <v>39</v>
      </c>
      <c r="B45" s="21" t="s">
        <v>20</v>
      </c>
      <c r="C45" s="23" t="s">
        <v>21</v>
      </c>
      <c r="D45" s="12">
        <v>39401</v>
      </c>
      <c r="E45" s="35" t="s">
        <v>691</v>
      </c>
      <c r="F45" s="35" t="s">
        <v>541</v>
      </c>
      <c r="G45" s="17" t="s">
        <v>696</v>
      </c>
      <c r="H45" s="13"/>
      <c r="I45" s="110" t="s">
        <v>2204</v>
      </c>
      <c r="J45" s="1" t="str">
        <f t="shared" si="3"/>
        <v xml:space="preserve">Lê Nguyễn Văn </v>
      </c>
      <c r="K45" s="1" t="str">
        <f t="shared" si="2"/>
        <v>Vỹ</v>
      </c>
    </row>
    <row r="46" spans="1:11" ht="20.25" customHeight="1">
      <c r="A46" s="9">
        <f t="shared" si="0"/>
        <v>40</v>
      </c>
      <c r="B46" s="21" t="s">
        <v>2655</v>
      </c>
      <c r="C46" s="23" t="s">
        <v>60</v>
      </c>
      <c r="D46" s="12" t="s">
        <v>1856</v>
      </c>
      <c r="E46" s="35" t="s">
        <v>2585</v>
      </c>
      <c r="F46" s="35" t="s">
        <v>553</v>
      </c>
      <c r="G46" s="17" t="s">
        <v>2710</v>
      </c>
      <c r="H46" s="52" t="s">
        <v>2640</v>
      </c>
      <c r="I46" s="110" t="s">
        <v>2204</v>
      </c>
      <c r="J46" s="1" t="str">
        <f t="shared" si="3"/>
        <v>Vũ Anh</v>
      </c>
      <c r="K46" s="1" t="str">
        <f t="shared" si="2"/>
        <v>Khoa</v>
      </c>
    </row>
    <row r="47" spans="1:11" ht="20.25" customHeight="1">
      <c r="A47" s="9">
        <f t="shared" si="0"/>
        <v>41</v>
      </c>
      <c r="B47" s="21" t="s">
        <v>1125</v>
      </c>
      <c r="C47" s="23" t="s">
        <v>498</v>
      </c>
      <c r="D47" s="40" t="s">
        <v>1947</v>
      </c>
      <c r="E47" s="73" t="s">
        <v>659</v>
      </c>
      <c r="F47" s="73" t="s">
        <v>556</v>
      </c>
      <c r="G47" s="95" t="s">
        <v>2830</v>
      </c>
      <c r="H47" s="94" t="s">
        <v>2699</v>
      </c>
      <c r="I47" s="110" t="s">
        <v>2204</v>
      </c>
      <c r="J47" s="1" t="str">
        <f t="shared" ref="J47:J50" si="4">PROPER(B47)</f>
        <v>Nguyễn Hoàng</v>
      </c>
      <c r="K47" s="1" t="str">
        <f t="shared" ref="K47:K50" si="5">PROPER(C47)</f>
        <v>Thiên</v>
      </c>
    </row>
    <row r="48" spans="1:11" ht="20.25" customHeight="1">
      <c r="A48" s="9">
        <f t="shared" si="0"/>
        <v>42</v>
      </c>
      <c r="B48" s="21" t="s">
        <v>3031</v>
      </c>
      <c r="C48" s="23" t="s">
        <v>55</v>
      </c>
      <c r="D48" s="40" t="s">
        <v>3032</v>
      </c>
      <c r="E48" s="73" t="s">
        <v>3197</v>
      </c>
      <c r="F48" s="73" t="s">
        <v>544</v>
      </c>
      <c r="G48" s="95" t="s">
        <v>3196</v>
      </c>
      <c r="H48" s="94" t="s">
        <v>3029</v>
      </c>
      <c r="I48" s="110" t="s">
        <v>2204</v>
      </c>
      <c r="J48" s="1" t="str">
        <f t="shared" si="4"/>
        <v>Hồ Chí</v>
      </c>
      <c r="K48" s="1" t="str">
        <f t="shared" si="5"/>
        <v>Bảo</v>
      </c>
    </row>
    <row r="49" spans="1:11" ht="20.25" customHeight="1">
      <c r="A49" s="9">
        <f t="shared" si="0"/>
        <v>43</v>
      </c>
      <c r="B49" s="21" t="s">
        <v>522</v>
      </c>
      <c r="C49" s="23" t="s">
        <v>15</v>
      </c>
      <c r="D49" s="40" t="s">
        <v>2840</v>
      </c>
      <c r="E49" s="73" t="s">
        <v>659</v>
      </c>
      <c r="F49" s="73" t="s">
        <v>556</v>
      </c>
      <c r="G49" s="95" t="s">
        <v>3163</v>
      </c>
      <c r="H49" s="94" t="s">
        <v>3070</v>
      </c>
      <c r="I49" s="110" t="s">
        <v>2204</v>
      </c>
      <c r="J49" s="1" t="str">
        <f t="shared" si="4"/>
        <v>Nguyễn Thanh</v>
      </c>
      <c r="K49" s="1" t="str">
        <f t="shared" si="5"/>
        <v>Bình</v>
      </c>
    </row>
    <row r="50" spans="1:11" ht="20.25" customHeight="1">
      <c r="A50" s="9">
        <f t="shared" si="0"/>
        <v>44</v>
      </c>
      <c r="B50" s="21" t="s">
        <v>1467</v>
      </c>
      <c r="C50" s="23" t="s">
        <v>29</v>
      </c>
      <c r="D50" s="40" t="s">
        <v>2108</v>
      </c>
      <c r="E50" s="73" t="s">
        <v>1273</v>
      </c>
      <c r="F50" s="73" t="s">
        <v>544</v>
      </c>
      <c r="G50" s="95" t="s">
        <v>3155</v>
      </c>
      <c r="H50" s="94" t="s">
        <v>3070</v>
      </c>
      <c r="I50" s="110" t="s">
        <v>3154</v>
      </c>
      <c r="J50" s="1" t="str">
        <f t="shared" si="4"/>
        <v>Trần Quốc</v>
      </c>
      <c r="K50" s="1" t="str">
        <f t="shared" si="5"/>
        <v>Việt</v>
      </c>
    </row>
    <row r="51" spans="1:11" ht="20.25" customHeight="1">
      <c r="A51" s="9">
        <f t="shared" si="0"/>
        <v>45</v>
      </c>
      <c r="B51" s="21" t="s">
        <v>1126</v>
      </c>
      <c r="C51" s="23" t="s">
        <v>70</v>
      </c>
      <c r="D51" s="212" t="s">
        <v>3220</v>
      </c>
      <c r="E51" s="73" t="s">
        <v>3261</v>
      </c>
      <c r="F51" s="73" t="s">
        <v>556</v>
      </c>
      <c r="G51" s="95" t="s">
        <v>3262</v>
      </c>
      <c r="H51" s="94" t="s">
        <v>3219</v>
      </c>
      <c r="I51" s="110" t="s">
        <v>2204</v>
      </c>
      <c r="J51" s="1" t="str">
        <f t="shared" ref="J51:J55" si="6">PROPER(B51)</f>
        <v>Nguyễn Duy</v>
      </c>
      <c r="K51" s="1" t="str">
        <f t="shared" ref="K51:K55" si="7">PROPER(C51)</f>
        <v>Anh</v>
      </c>
    </row>
    <row r="52" spans="1:11" ht="20.25" customHeight="1">
      <c r="A52" s="9">
        <f t="shared" si="0"/>
        <v>46</v>
      </c>
      <c r="B52" s="21" t="s">
        <v>1116</v>
      </c>
      <c r="C52" s="23" t="s">
        <v>161</v>
      </c>
      <c r="D52" s="213">
        <v>39567</v>
      </c>
      <c r="E52" s="73" t="s">
        <v>1755</v>
      </c>
      <c r="F52" s="73" t="s">
        <v>556</v>
      </c>
      <c r="G52" s="95" t="s">
        <v>3339</v>
      </c>
      <c r="H52" s="94" t="s">
        <v>3331</v>
      </c>
      <c r="I52" s="110" t="s">
        <v>2204</v>
      </c>
      <c r="J52" s="1" t="str">
        <f t="shared" si="6"/>
        <v xml:space="preserve">Nguyễn Hữu </v>
      </c>
      <c r="K52" s="1" t="str">
        <f t="shared" si="7"/>
        <v>Mạnh</v>
      </c>
    </row>
    <row r="53" spans="1:11" ht="20.25" customHeight="1">
      <c r="A53" s="9">
        <f t="shared" si="0"/>
        <v>47</v>
      </c>
      <c r="B53" s="21" t="s">
        <v>3497</v>
      </c>
      <c r="C53" s="23" t="s">
        <v>1112</v>
      </c>
      <c r="D53" s="213">
        <v>39329</v>
      </c>
      <c r="E53" s="73" t="s">
        <v>1703</v>
      </c>
      <c r="F53" s="73" t="s">
        <v>565</v>
      </c>
      <c r="G53" s="95" t="s">
        <v>3499</v>
      </c>
      <c r="H53" s="94" t="s">
        <v>3498</v>
      </c>
      <c r="I53" s="110" t="s">
        <v>3426</v>
      </c>
      <c r="J53" s="1" t="str">
        <f t="shared" si="6"/>
        <v>Thái Bình</v>
      </c>
      <c r="K53" s="1" t="str">
        <f t="shared" si="7"/>
        <v>Dương</v>
      </c>
    </row>
    <row r="54" spans="1:11" ht="20.25" customHeight="1">
      <c r="A54" s="9">
        <f t="shared" si="0"/>
        <v>48</v>
      </c>
      <c r="B54" s="21" t="s">
        <v>3381</v>
      </c>
      <c r="C54" s="23" t="s">
        <v>70</v>
      </c>
      <c r="D54" s="213">
        <v>44870</v>
      </c>
      <c r="E54" s="73" t="s">
        <v>2448</v>
      </c>
      <c r="F54" s="73" t="s">
        <v>573</v>
      </c>
      <c r="G54" s="95"/>
      <c r="H54" s="94" t="s">
        <v>3514</v>
      </c>
      <c r="I54" s="110" t="s">
        <v>3426</v>
      </c>
      <c r="J54" s="1" t="str">
        <f t="shared" si="6"/>
        <v>Lê Tuấn</v>
      </c>
      <c r="K54" s="1" t="str">
        <f t="shared" si="7"/>
        <v>Anh</v>
      </c>
    </row>
    <row r="55" spans="1:11" ht="20.25" customHeight="1">
      <c r="A55" s="9">
        <f t="shared" si="0"/>
        <v>49</v>
      </c>
      <c r="B55" s="21" t="s">
        <v>3526</v>
      </c>
      <c r="C55" s="23" t="s">
        <v>55</v>
      </c>
      <c r="D55" s="213">
        <v>38183</v>
      </c>
      <c r="E55" s="73"/>
      <c r="F55" s="73"/>
      <c r="G55" s="95"/>
      <c r="H55" s="94" t="s">
        <v>3527</v>
      </c>
      <c r="I55" s="110" t="s">
        <v>3426</v>
      </c>
      <c r="J55" s="1" t="str">
        <f t="shared" si="6"/>
        <v>Dương Văn</v>
      </c>
      <c r="K55" s="1" t="str">
        <f t="shared" si="7"/>
        <v>Bảo</v>
      </c>
    </row>
  </sheetData>
  <sortState ref="B7:I47">
    <sortCondition ref="C7:C47"/>
  </sortState>
  <mergeCells count="8">
    <mergeCell ref="B6:C6"/>
    <mergeCell ref="E6:F6"/>
    <mergeCell ref="A1:D1"/>
    <mergeCell ref="E1:H1"/>
    <mergeCell ref="A2:D2"/>
    <mergeCell ref="E2:H2"/>
    <mergeCell ref="A4:H4"/>
    <mergeCell ref="A5:H5"/>
  </mergeCells>
  <pageMargins left="0.28000000000000003" right="0.22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43" workbookViewId="0">
      <selection activeCell="J21" sqref="J21:J22"/>
    </sheetView>
  </sheetViews>
  <sheetFormatPr defaultRowHeight="15"/>
  <cols>
    <col min="1" max="1" width="4.5703125" style="1" customWidth="1"/>
    <col min="2" max="2" width="19.42578125" style="1" customWidth="1"/>
    <col min="3" max="3" width="8.28515625" style="1" customWidth="1"/>
    <col min="4" max="4" width="11" style="1" customWidth="1"/>
    <col min="5" max="5" width="14.7109375" style="1" customWidth="1"/>
    <col min="6" max="6" width="13.28515625" style="1" customWidth="1"/>
    <col min="7" max="7" width="13" style="1" customWidth="1"/>
    <col min="8" max="8" width="13.140625" style="1" customWidth="1"/>
    <col min="9" max="9" width="18.28515625" style="1" customWidth="1"/>
    <col min="10" max="10" width="34" style="149" customWidth="1"/>
    <col min="11" max="11" width="20.140625" style="65" customWidth="1"/>
    <col min="12" max="12" width="9.140625" style="53"/>
    <col min="13" max="16384" width="9.140625" style="1"/>
  </cols>
  <sheetData>
    <row r="1" spans="1:12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</row>
    <row r="2" spans="1:12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</row>
    <row r="3" spans="1:12" ht="15.75" customHeight="1">
      <c r="A3" s="2"/>
      <c r="B3" s="3"/>
      <c r="C3" s="3"/>
      <c r="D3" s="3"/>
    </row>
    <row r="4" spans="1:12" ht="15.75" customHeight="1">
      <c r="A4" s="308" t="s">
        <v>10</v>
      </c>
      <c r="B4" s="308"/>
      <c r="C4" s="308"/>
      <c r="D4" s="308"/>
      <c r="E4" s="308"/>
      <c r="F4" s="308"/>
      <c r="G4" s="308"/>
      <c r="H4" s="308"/>
    </row>
    <row r="5" spans="1:12" s="4" customFormat="1" ht="23.25" customHeight="1">
      <c r="A5" s="309" t="s">
        <v>1358</v>
      </c>
      <c r="B5" s="309"/>
      <c r="C5" s="309"/>
      <c r="D5" s="309"/>
      <c r="E5" s="309"/>
      <c r="F5" s="309"/>
      <c r="G5" s="309"/>
      <c r="H5" s="309"/>
      <c r="J5" s="150"/>
      <c r="K5" s="66"/>
      <c r="L5" s="67"/>
    </row>
    <row r="6" spans="1:12" s="8" customFormat="1" ht="45.75" customHeight="1">
      <c r="A6" s="5" t="s">
        <v>4</v>
      </c>
      <c r="B6" s="302" t="s">
        <v>5</v>
      </c>
      <c r="C6" s="303"/>
      <c r="D6" s="6" t="s">
        <v>6</v>
      </c>
      <c r="E6" s="304" t="s">
        <v>11</v>
      </c>
      <c r="F6" s="305"/>
      <c r="G6" s="20" t="s">
        <v>1359</v>
      </c>
      <c r="H6" s="20" t="s">
        <v>186</v>
      </c>
      <c r="I6" s="20" t="s">
        <v>2295</v>
      </c>
      <c r="J6" s="151" t="s">
        <v>2219</v>
      </c>
      <c r="K6" s="68"/>
      <c r="L6" s="69"/>
    </row>
    <row r="7" spans="1:12" ht="24" customHeight="1">
      <c r="A7" s="9">
        <f t="shared" ref="A7:A55" si="0">ROW()-6</f>
        <v>1</v>
      </c>
      <c r="B7" s="21" t="s">
        <v>1570</v>
      </c>
      <c r="C7" s="23" t="s">
        <v>55</v>
      </c>
      <c r="D7" s="34" t="s">
        <v>1555</v>
      </c>
      <c r="E7" s="35" t="s">
        <v>812</v>
      </c>
      <c r="F7" s="35" t="s">
        <v>541</v>
      </c>
      <c r="G7" s="30" t="s">
        <v>1694</v>
      </c>
      <c r="H7" s="94"/>
      <c r="I7" s="94" t="s">
        <v>1516</v>
      </c>
      <c r="J7" s="152" t="s">
        <v>2204</v>
      </c>
      <c r="K7" s="68" t="str">
        <f>PROPER(B7)</f>
        <v>Lê Phạm Quốc</v>
      </c>
      <c r="L7" s="53" t="str">
        <f>PROPER(C7)</f>
        <v>Bảo</v>
      </c>
    </row>
    <row r="8" spans="1:12" ht="24" customHeight="1">
      <c r="A8" s="9">
        <f t="shared" si="0"/>
        <v>2</v>
      </c>
      <c r="B8" s="21" t="s">
        <v>1724</v>
      </c>
      <c r="C8" s="23" t="s">
        <v>55</v>
      </c>
      <c r="D8" s="40" t="s">
        <v>1526</v>
      </c>
      <c r="E8" s="73" t="s">
        <v>2403</v>
      </c>
      <c r="F8" s="73" t="s">
        <v>573</v>
      </c>
      <c r="G8" s="95" t="s">
        <v>2179</v>
      </c>
      <c r="H8" s="94"/>
      <c r="I8" s="94" t="s">
        <v>1720</v>
      </c>
      <c r="J8" s="152" t="s">
        <v>2204</v>
      </c>
      <c r="K8" s="68" t="str">
        <f>PROPER(B8)</f>
        <v>Hồ Lê Xuân</v>
      </c>
      <c r="L8" s="53" t="str">
        <f>PROPER(C8)</f>
        <v>Bảo</v>
      </c>
    </row>
    <row r="9" spans="1:12" ht="24" customHeight="1">
      <c r="A9" s="9">
        <f t="shared" si="0"/>
        <v>3</v>
      </c>
      <c r="B9" s="21" t="s">
        <v>1579</v>
      </c>
      <c r="C9" s="23" t="s">
        <v>242</v>
      </c>
      <c r="D9" s="34" t="s">
        <v>1188</v>
      </c>
      <c r="E9" s="35" t="s">
        <v>624</v>
      </c>
      <c r="F9" s="35" t="s">
        <v>541</v>
      </c>
      <c r="G9" s="30" t="s">
        <v>1695</v>
      </c>
      <c r="H9" s="94"/>
      <c r="I9" s="94" t="s">
        <v>1516</v>
      </c>
      <c r="J9" s="152" t="s">
        <v>2297</v>
      </c>
      <c r="K9" s="68" t="e">
        <f>PROPER(#REF!)</f>
        <v>#REF!</v>
      </c>
      <c r="L9" s="53" t="e">
        <f>PROPER(#REF!)</f>
        <v>#REF!</v>
      </c>
    </row>
    <row r="10" spans="1:12" ht="24" customHeight="1">
      <c r="A10" s="9">
        <f t="shared" si="0"/>
        <v>4</v>
      </c>
      <c r="B10" s="21" t="s">
        <v>1727</v>
      </c>
      <c r="C10" s="23" t="s">
        <v>36</v>
      </c>
      <c r="D10" s="40" t="s">
        <v>1729</v>
      </c>
      <c r="E10" s="73" t="s">
        <v>946</v>
      </c>
      <c r="F10" s="73" t="s">
        <v>573</v>
      </c>
      <c r="G10" s="95" t="s">
        <v>2302</v>
      </c>
      <c r="H10" s="94"/>
      <c r="I10" s="94" t="s">
        <v>1720</v>
      </c>
      <c r="J10" s="152" t="s">
        <v>2204</v>
      </c>
      <c r="K10" s="68" t="str">
        <f t="shared" ref="K10:L12" si="1">PROPER(B10)</f>
        <v>Lê Viết</v>
      </c>
      <c r="L10" s="53" t="str">
        <f t="shared" si="1"/>
        <v>Cường</v>
      </c>
    </row>
    <row r="11" spans="1:12" ht="24" customHeight="1">
      <c r="A11" s="9">
        <f t="shared" si="0"/>
        <v>5</v>
      </c>
      <c r="B11" s="21" t="s">
        <v>1218</v>
      </c>
      <c r="C11" s="23" t="s">
        <v>25</v>
      </c>
      <c r="D11" s="40" t="s">
        <v>1226</v>
      </c>
      <c r="E11" s="73" t="s">
        <v>968</v>
      </c>
      <c r="F11" s="73" t="s">
        <v>573</v>
      </c>
      <c r="G11" s="95" t="s">
        <v>2301</v>
      </c>
      <c r="H11" s="94" t="s">
        <v>1652</v>
      </c>
      <c r="I11" s="94" t="s">
        <v>1652</v>
      </c>
      <c r="J11" s="152" t="s">
        <v>2204</v>
      </c>
      <c r="K11" s="68" t="str">
        <f t="shared" si="1"/>
        <v>Phan Lê Tuấn</v>
      </c>
      <c r="L11" s="53" t="str">
        <f t="shared" si="1"/>
        <v>Đạt</v>
      </c>
    </row>
    <row r="12" spans="1:12" ht="24" customHeight="1">
      <c r="A12" s="9">
        <f t="shared" si="0"/>
        <v>6</v>
      </c>
      <c r="B12" s="21" t="s">
        <v>1150</v>
      </c>
      <c r="C12" s="23" t="s">
        <v>484</v>
      </c>
      <c r="D12" s="12" t="s">
        <v>1662</v>
      </c>
      <c r="E12" s="35" t="s">
        <v>1714</v>
      </c>
      <c r="F12" s="35" t="s">
        <v>541</v>
      </c>
      <c r="G12" s="17" t="s">
        <v>1715</v>
      </c>
      <c r="H12" s="94"/>
      <c r="I12" s="103" t="s">
        <v>1658</v>
      </c>
      <c r="J12" s="152" t="s">
        <v>2204</v>
      </c>
      <c r="K12" s="68" t="str">
        <f t="shared" si="1"/>
        <v>Trần Văn</v>
      </c>
      <c r="L12" s="53" t="str">
        <f t="shared" si="1"/>
        <v>Đông</v>
      </c>
    </row>
    <row r="13" spans="1:12" ht="24" customHeight="1">
      <c r="A13" s="9">
        <f t="shared" si="0"/>
        <v>7</v>
      </c>
      <c r="B13" s="21" t="s">
        <v>1085</v>
      </c>
      <c r="C13" s="23" t="s">
        <v>66</v>
      </c>
      <c r="D13" s="12" t="s">
        <v>1664</v>
      </c>
      <c r="E13" s="35" t="s">
        <v>1044</v>
      </c>
      <c r="F13" s="35" t="s">
        <v>573</v>
      </c>
      <c r="G13" s="17" t="s">
        <v>2182</v>
      </c>
      <c r="H13" s="94"/>
      <c r="I13" s="94" t="s">
        <v>1658</v>
      </c>
      <c r="J13" s="152" t="s">
        <v>2204</v>
      </c>
      <c r="K13" s="68" t="str">
        <f>PROPER(B13)</f>
        <v>Nguyễn Minh</v>
      </c>
      <c r="L13" s="53" t="str">
        <f>PROPER(C13)</f>
        <v>Đức</v>
      </c>
    </row>
    <row r="14" spans="1:12" ht="24" customHeight="1">
      <c r="A14" s="9">
        <f t="shared" si="0"/>
        <v>8</v>
      </c>
      <c r="B14" s="21" t="s">
        <v>1573</v>
      </c>
      <c r="C14" s="23" t="s">
        <v>1112</v>
      </c>
      <c r="D14" s="34" t="s">
        <v>1559</v>
      </c>
      <c r="E14" s="35" t="s">
        <v>603</v>
      </c>
      <c r="F14" s="35" t="s">
        <v>541</v>
      </c>
      <c r="G14" s="30" t="s">
        <v>1696</v>
      </c>
      <c r="H14" s="94"/>
      <c r="I14" s="94" t="s">
        <v>1516</v>
      </c>
      <c r="J14" s="152" t="s">
        <v>2204</v>
      </c>
      <c r="K14" s="68" t="str">
        <f>PROPER(B14)</f>
        <v>Lê Thái</v>
      </c>
      <c r="L14" s="53" t="str">
        <f>PROPER(C14)</f>
        <v>Dương</v>
      </c>
    </row>
    <row r="15" spans="1:12" ht="24" customHeight="1">
      <c r="A15" s="9">
        <f t="shared" si="0"/>
        <v>9</v>
      </c>
      <c r="B15" s="21" t="s">
        <v>1578</v>
      </c>
      <c r="C15" s="23" t="s">
        <v>27</v>
      </c>
      <c r="D15" s="34" t="s">
        <v>1564</v>
      </c>
      <c r="E15" s="35" t="s">
        <v>547</v>
      </c>
      <c r="F15" s="35" t="s">
        <v>541</v>
      </c>
      <c r="G15" s="30" t="s">
        <v>1697</v>
      </c>
      <c r="H15" s="94"/>
      <c r="I15" s="94" t="s">
        <v>1516</v>
      </c>
      <c r="J15" s="152" t="s">
        <v>2204</v>
      </c>
      <c r="K15" s="68"/>
    </row>
    <row r="16" spans="1:12" ht="24" customHeight="1">
      <c r="A16" s="9">
        <f t="shared" si="0"/>
        <v>10</v>
      </c>
      <c r="B16" s="21" t="s">
        <v>1220</v>
      </c>
      <c r="C16" s="23" t="s">
        <v>42</v>
      </c>
      <c r="D16" s="40" t="s">
        <v>1228</v>
      </c>
      <c r="E16" s="73" t="s">
        <v>717</v>
      </c>
      <c r="F16" s="73" t="s">
        <v>544</v>
      </c>
      <c r="G16" s="95" t="s">
        <v>2146</v>
      </c>
      <c r="H16" s="94"/>
      <c r="I16" s="94"/>
      <c r="J16" s="152" t="s">
        <v>2204</v>
      </c>
      <c r="K16" s="68" t="str">
        <f>PROPER(B16)</f>
        <v>Trần Bảo</v>
      </c>
      <c r="L16" s="53" t="str">
        <f>PROPER(C16)</f>
        <v>Hiếu</v>
      </c>
    </row>
    <row r="17" spans="1:12" ht="24" customHeight="1">
      <c r="A17" s="9">
        <f t="shared" si="0"/>
        <v>11</v>
      </c>
      <c r="B17" s="55" t="s">
        <v>1448</v>
      </c>
      <c r="C17" s="56" t="s">
        <v>17</v>
      </c>
      <c r="D17" s="41">
        <v>39807</v>
      </c>
      <c r="E17" s="73" t="s">
        <v>659</v>
      </c>
      <c r="F17" s="73" t="s">
        <v>556</v>
      </c>
      <c r="G17" s="95" t="s">
        <v>1698</v>
      </c>
      <c r="H17" s="94"/>
      <c r="I17" s="94"/>
      <c r="J17" s="152" t="s">
        <v>2204</v>
      </c>
      <c r="K17" s="68"/>
      <c r="L17" s="53" t="e">
        <f>PROPER(#REF!)</f>
        <v>#REF!</v>
      </c>
    </row>
    <row r="18" spans="1:12" ht="24" customHeight="1">
      <c r="A18" s="9">
        <f t="shared" si="0"/>
        <v>12</v>
      </c>
      <c r="B18" s="21" t="s">
        <v>1569</v>
      </c>
      <c r="C18" s="23" t="s">
        <v>17</v>
      </c>
      <c r="D18" s="34" t="s">
        <v>1554</v>
      </c>
      <c r="E18" s="35" t="s">
        <v>1699</v>
      </c>
      <c r="F18" s="35" t="s">
        <v>544</v>
      </c>
      <c r="G18" s="30" t="s">
        <v>1700</v>
      </c>
      <c r="H18" s="94"/>
      <c r="I18" s="94" t="s">
        <v>1516</v>
      </c>
      <c r="J18" s="152" t="s">
        <v>2204</v>
      </c>
      <c r="K18" s="68" t="str">
        <f t="shared" ref="K18:L21" si="2">PROPER(B18)</f>
        <v>Lê Huy</v>
      </c>
      <c r="L18" s="53" t="str">
        <f t="shared" si="2"/>
        <v>Hoàng</v>
      </c>
    </row>
    <row r="19" spans="1:12" ht="24" customHeight="1">
      <c r="A19" s="9">
        <f t="shared" si="0"/>
        <v>13</v>
      </c>
      <c r="B19" s="21" t="s">
        <v>1473</v>
      </c>
      <c r="C19" s="23" t="s">
        <v>123</v>
      </c>
      <c r="D19" s="41">
        <v>39804</v>
      </c>
      <c r="E19" s="73" t="s">
        <v>570</v>
      </c>
      <c r="F19" s="73" t="s">
        <v>541</v>
      </c>
      <c r="G19" s="95" t="s">
        <v>1701</v>
      </c>
      <c r="H19" s="94"/>
      <c r="I19" s="94"/>
      <c r="J19" s="152" t="s">
        <v>2204</v>
      </c>
      <c r="K19" s="68" t="str">
        <f t="shared" si="2"/>
        <v>Lê Trần Ngọc</v>
      </c>
      <c r="L19" s="53" t="str">
        <f t="shared" si="2"/>
        <v>Hùng</v>
      </c>
    </row>
    <row r="20" spans="1:12" ht="24" customHeight="1">
      <c r="A20" s="9">
        <f t="shared" si="0"/>
        <v>14</v>
      </c>
      <c r="B20" s="21" t="s">
        <v>1087</v>
      </c>
      <c r="C20" s="23" t="s">
        <v>123</v>
      </c>
      <c r="D20" s="34" t="s">
        <v>952</v>
      </c>
      <c r="E20" s="73" t="s">
        <v>1738</v>
      </c>
      <c r="F20" s="73" t="s">
        <v>573</v>
      </c>
      <c r="G20" s="95" t="s">
        <v>2140</v>
      </c>
      <c r="H20" s="94"/>
      <c r="I20" s="94"/>
      <c r="J20" s="152" t="s">
        <v>2300</v>
      </c>
      <c r="K20" s="68" t="str">
        <f t="shared" si="2"/>
        <v>Thái Phi</v>
      </c>
      <c r="L20" s="53" t="str">
        <f t="shared" si="2"/>
        <v>Hùng</v>
      </c>
    </row>
    <row r="21" spans="1:12" ht="24" customHeight="1">
      <c r="A21" s="9">
        <f t="shared" si="0"/>
        <v>15</v>
      </c>
      <c r="B21" s="21" t="s">
        <v>1725</v>
      </c>
      <c r="C21" s="23" t="s">
        <v>123</v>
      </c>
      <c r="D21" s="40" t="s">
        <v>1556</v>
      </c>
      <c r="E21" s="73" t="s">
        <v>2303</v>
      </c>
      <c r="F21" s="73" t="s">
        <v>565</v>
      </c>
      <c r="G21" s="95" t="s">
        <v>2304</v>
      </c>
      <c r="H21" s="94"/>
      <c r="I21" s="94" t="s">
        <v>1720</v>
      </c>
      <c r="J21" s="152" t="s">
        <v>2204</v>
      </c>
      <c r="K21" s="68" t="str">
        <f t="shared" si="2"/>
        <v>Vũ Đình</v>
      </c>
      <c r="L21" s="53" t="str">
        <f t="shared" si="2"/>
        <v>Hùng</v>
      </c>
    </row>
    <row r="22" spans="1:12" ht="24" customHeight="1">
      <c r="A22" s="9">
        <f t="shared" si="0"/>
        <v>16</v>
      </c>
      <c r="B22" s="21" t="s">
        <v>1449</v>
      </c>
      <c r="C22" s="23" t="s">
        <v>128</v>
      </c>
      <c r="D22" s="41">
        <v>39810</v>
      </c>
      <c r="E22" s="73" t="s">
        <v>2296</v>
      </c>
      <c r="F22" s="73" t="s">
        <v>556</v>
      </c>
      <c r="G22" s="95" t="s">
        <v>2174</v>
      </c>
      <c r="H22" s="94"/>
      <c r="I22" s="94"/>
      <c r="J22" s="152" t="s">
        <v>2204</v>
      </c>
      <c r="K22" s="70"/>
      <c r="L22" s="71" t="e">
        <f>PROPER(#REF!)</f>
        <v>#REF!</v>
      </c>
    </row>
    <row r="23" spans="1:12" ht="24" customHeight="1">
      <c r="A23" s="9">
        <f t="shared" si="0"/>
        <v>17</v>
      </c>
      <c r="B23" s="21" t="s">
        <v>1567</v>
      </c>
      <c r="C23" s="23" t="s">
        <v>128</v>
      </c>
      <c r="D23" s="34" t="s">
        <v>1553</v>
      </c>
      <c r="E23" s="35" t="s">
        <v>2232</v>
      </c>
      <c r="F23" s="35" t="s">
        <v>544</v>
      </c>
      <c r="G23" s="30" t="s">
        <v>2306</v>
      </c>
      <c r="H23" s="94"/>
      <c r="I23" s="94" t="s">
        <v>1516</v>
      </c>
      <c r="J23" s="152" t="s">
        <v>2204</v>
      </c>
      <c r="K23" s="68"/>
    </row>
    <row r="24" spans="1:12" ht="24" customHeight="1">
      <c r="A24" s="9">
        <f t="shared" si="0"/>
        <v>18</v>
      </c>
      <c r="B24" s="21" t="s">
        <v>1723</v>
      </c>
      <c r="C24" s="23" t="s">
        <v>128</v>
      </c>
      <c r="D24" s="40" t="s">
        <v>1190</v>
      </c>
      <c r="E24" s="73" t="s">
        <v>1044</v>
      </c>
      <c r="F24" s="73" t="s">
        <v>573</v>
      </c>
      <c r="G24" s="95" t="s">
        <v>2305</v>
      </c>
      <c r="H24" s="94"/>
      <c r="I24" s="94" t="s">
        <v>1720</v>
      </c>
      <c r="J24" s="152" t="s">
        <v>2204</v>
      </c>
      <c r="K24" s="68" t="str">
        <f t="shared" ref="K24:L26" si="3">PROPER(B24)</f>
        <v>Bùi Dương Nhất</v>
      </c>
      <c r="L24" s="53" t="str">
        <f t="shared" si="3"/>
        <v>Huy</v>
      </c>
    </row>
    <row r="25" spans="1:12" ht="24" customHeight="1">
      <c r="A25" s="9">
        <f t="shared" si="0"/>
        <v>19</v>
      </c>
      <c r="B25" s="21" t="s">
        <v>1611</v>
      </c>
      <c r="C25" s="23" t="s">
        <v>58</v>
      </c>
      <c r="D25" s="40" t="s">
        <v>1613</v>
      </c>
      <c r="E25" s="73" t="s">
        <v>596</v>
      </c>
      <c r="F25" s="73" t="s">
        <v>544</v>
      </c>
      <c r="G25" s="95" t="s">
        <v>2311</v>
      </c>
      <c r="H25" s="94"/>
      <c r="I25" s="94" t="s">
        <v>1610</v>
      </c>
      <c r="J25" s="152" t="s">
        <v>2204</v>
      </c>
      <c r="K25" s="68" t="str">
        <f t="shared" si="3"/>
        <v>Tôn Long Dương</v>
      </c>
      <c r="L25" s="53" t="str">
        <f t="shared" si="3"/>
        <v>Khang</v>
      </c>
    </row>
    <row r="26" spans="1:12" ht="24" customHeight="1">
      <c r="A26" s="9">
        <f t="shared" si="0"/>
        <v>20</v>
      </c>
      <c r="B26" s="21" t="s">
        <v>524</v>
      </c>
      <c r="C26" s="23" t="s">
        <v>145</v>
      </c>
      <c r="D26" s="40" t="s">
        <v>1615</v>
      </c>
      <c r="E26" s="73" t="s">
        <v>2298</v>
      </c>
      <c r="F26" s="73" t="s">
        <v>2299</v>
      </c>
      <c r="G26" s="95" t="s">
        <v>1713</v>
      </c>
      <c r="H26" s="94"/>
      <c r="I26" s="94" t="s">
        <v>1610</v>
      </c>
      <c r="J26" s="152" t="s">
        <v>2204</v>
      </c>
      <c r="K26" s="68" t="str">
        <f t="shared" si="3"/>
        <v>Nguyễn Đức</v>
      </c>
      <c r="L26" s="53" t="str">
        <f t="shared" si="3"/>
        <v>Khánh</v>
      </c>
    </row>
    <row r="27" spans="1:12" ht="24" customHeight="1">
      <c r="A27" s="9">
        <f t="shared" si="0"/>
        <v>21</v>
      </c>
      <c r="B27" s="21" t="s">
        <v>1577</v>
      </c>
      <c r="C27" s="23" t="s">
        <v>108</v>
      </c>
      <c r="D27" s="34" t="s">
        <v>1563</v>
      </c>
      <c r="E27" s="35" t="s">
        <v>2180</v>
      </c>
      <c r="F27" s="35" t="s">
        <v>541</v>
      </c>
      <c r="G27" s="30" t="s">
        <v>1580</v>
      </c>
      <c r="H27" s="33" t="s">
        <v>1550</v>
      </c>
      <c r="I27" s="94" t="s">
        <v>1516</v>
      </c>
      <c r="J27" s="152" t="s">
        <v>3341</v>
      </c>
      <c r="K27" s="68" t="str">
        <f t="shared" ref="K27:L30" si="4">PROPER(B27)</f>
        <v>Nguyễn Phước Trung</v>
      </c>
      <c r="L27" s="53" t="str">
        <f t="shared" si="4"/>
        <v>Kiên</v>
      </c>
    </row>
    <row r="28" spans="1:12" ht="24" customHeight="1">
      <c r="A28" s="9">
        <f t="shared" si="0"/>
        <v>22</v>
      </c>
      <c r="B28" s="21" t="s">
        <v>1541</v>
      </c>
      <c r="C28" s="23" t="s">
        <v>294</v>
      </c>
      <c r="D28" s="34" t="s">
        <v>1560</v>
      </c>
      <c r="E28" s="35" t="s">
        <v>1290</v>
      </c>
      <c r="F28" s="35" t="s">
        <v>541</v>
      </c>
      <c r="G28" s="30">
        <v>762793414</v>
      </c>
      <c r="H28" s="94"/>
      <c r="I28" s="94" t="s">
        <v>1516</v>
      </c>
      <c r="J28" s="152" t="s">
        <v>2204</v>
      </c>
      <c r="K28" s="68" t="str">
        <f t="shared" si="4"/>
        <v>Nguyễn Quang</v>
      </c>
      <c r="L28" s="53" t="str">
        <f t="shared" si="4"/>
        <v>Linh</v>
      </c>
    </row>
    <row r="29" spans="1:12" ht="24" customHeight="1">
      <c r="A29" s="9">
        <f t="shared" si="0"/>
        <v>23</v>
      </c>
      <c r="B29" s="21" t="s">
        <v>1612</v>
      </c>
      <c r="C29" s="23" t="s">
        <v>90</v>
      </c>
      <c r="D29" s="40" t="s">
        <v>1614</v>
      </c>
      <c r="E29" s="73" t="s">
        <v>629</v>
      </c>
      <c r="F29" s="73" t="s">
        <v>541</v>
      </c>
      <c r="G29" s="95" t="s">
        <v>2181</v>
      </c>
      <c r="H29" s="94"/>
      <c r="I29" s="94" t="s">
        <v>1610</v>
      </c>
      <c r="J29" s="152" t="s">
        <v>2204</v>
      </c>
      <c r="K29" s="68" t="str">
        <f t="shared" si="4"/>
        <v>Phạm Hoàng</v>
      </c>
      <c r="L29" s="53" t="str">
        <f t="shared" si="4"/>
        <v>Long</v>
      </c>
    </row>
    <row r="30" spans="1:12" ht="24" customHeight="1">
      <c r="A30" s="9">
        <f t="shared" si="0"/>
        <v>24</v>
      </c>
      <c r="B30" s="21" t="s">
        <v>1571</v>
      </c>
      <c r="C30" s="23" t="s">
        <v>100</v>
      </c>
      <c r="D30" s="34" t="s">
        <v>1557</v>
      </c>
      <c r="E30" s="35" t="s">
        <v>2308</v>
      </c>
      <c r="F30" s="35" t="s">
        <v>553</v>
      </c>
      <c r="G30" s="30" t="s">
        <v>2309</v>
      </c>
      <c r="H30" s="94"/>
      <c r="I30" s="94" t="s">
        <v>1516</v>
      </c>
      <c r="J30" s="152" t="s">
        <v>2204</v>
      </c>
      <c r="K30" s="68" t="str">
        <f t="shared" si="4"/>
        <v>Nguyễn Mai Duy</v>
      </c>
      <c r="L30" s="53" t="str">
        <f t="shared" si="4"/>
        <v>Minh</v>
      </c>
    </row>
    <row r="31" spans="1:12" ht="24" customHeight="1">
      <c r="A31" s="9">
        <f t="shared" si="0"/>
        <v>25</v>
      </c>
      <c r="B31" s="21" t="s">
        <v>71</v>
      </c>
      <c r="C31" s="23" t="s">
        <v>72</v>
      </c>
      <c r="D31" s="12">
        <v>39605</v>
      </c>
      <c r="E31" s="35" t="s">
        <v>990</v>
      </c>
      <c r="F31" s="35" t="s">
        <v>573</v>
      </c>
      <c r="G31" s="17" t="s">
        <v>991</v>
      </c>
      <c r="H31" s="94"/>
      <c r="I31" s="94" t="s">
        <v>1629</v>
      </c>
      <c r="J31" s="152" t="s">
        <v>2204</v>
      </c>
      <c r="K31" s="68"/>
      <c r="L31" s="53" t="e">
        <f>PROPER(#REF!)</f>
        <v>#REF!</v>
      </c>
    </row>
    <row r="32" spans="1:12" ht="24" customHeight="1">
      <c r="A32" s="9">
        <f t="shared" si="0"/>
        <v>26</v>
      </c>
      <c r="B32" s="21" t="s">
        <v>1325</v>
      </c>
      <c r="C32" s="23" t="s">
        <v>74</v>
      </c>
      <c r="D32" s="40" t="s">
        <v>1332</v>
      </c>
      <c r="E32" s="73" t="s">
        <v>605</v>
      </c>
      <c r="F32" s="73" t="s">
        <v>541</v>
      </c>
      <c r="G32" s="95" t="s">
        <v>1702</v>
      </c>
      <c r="H32" s="94"/>
      <c r="I32" s="94"/>
      <c r="J32" s="152" t="s">
        <v>2204</v>
      </c>
      <c r="K32" s="68" t="str">
        <f t="shared" ref="K32:L34" si="5">PROPER(B32)</f>
        <v>Phạm Hữu</v>
      </c>
      <c r="L32" s="53" t="str">
        <f t="shared" si="5"/>
        <v>Nhật</v>
      </c>
    </row>
    <row r="33" spans="1:12" ht="24" customHeight="1">
      <c r="A33" s="9">
        <f t="shared" si="0"/>
        <v>27</v>
      </c>
      <c r="B33" s="21" t="s">
        <v>1403</v>
      </c>
      <c r="C33" s="23" t="s">
        <v>74</v>
      </c>
      <c r="D33" s="40" t="s">
        <v>1405</v>
      </c>
      <c r="E33" s="73" t="s">
        <v>1703</v>
      </c>
      <c r="F33" s="73" t="s">
        <v>565</v>
      </c>
      <c r="G33" s="95" t="s">
        <v>1704</v>
      </c>
      <c r="H33" s="94"/>
      <c r="I33" s="94"/>
      <c r="J33" s="152" t="s">
        <v>2204</v>
      </c>
      <c r="K33" s="68" t="str">
        <f t="shared" si="5"/>
        <v>Nguyễn Long</v>
      </c>
      <c r="L33" s="53" t="str">
        <f t="shared" si="5"/>
        <v>Nhật</v>
      </c>
    </row>
    <row r="34" spans="1:12" ht="24" customHeight="1">
      <c r="A34" s="9">
        <f t="shared" si="0"/>
        <v>28</v>
      </c>
      <c r="B34" s="21" t="s">
        <v>1320</v>
      </c>
      <c r="C34" s="23" t="s">
        <v>1321</v>
      </c>
      <c r="D34" s="40" t="s">
        <v>1327</v>
      </c>
      <c r="E34" s="73" t="s">
        <v>1705</v>
      </c>
      <c r="F34" s="73" t="s">
        <v>573</v>
      </c>
      <c r="G34" s="95" t="s">
        <v>1706</v>
      </c>
      <c r="H34" s="94" t="s">
        <v>578</v>
      </c>
      <c r="I34" s="94" t="s">
        <v>578</v>
      </c>
      <c r="J34" s="152" t="s">
        <v>2204</v>
      </c>
      <c r="K34" s="68" t="str">
        <f t="shared" si="5"/>
        <v>Cao Ngọc</v>
      </c>
      <c r="L34" s="53" t="str">
        <f t="shared" si="5"/>
        <v>Oánh</v>
      </c>
    </row>
    <row r="35" spans="1:12" ht="24" customHeight="1">
      <c r="A35" s="9">
        <f t="shared" si="0"/>
        <v>29</v>
      </c>
      <c r="B35" s="21" t="s">
        <v>1447</v>
      </c>
      <c r="C35" s="23" t="s">
        <v>96</v>
      </c>
      <c r="D35" s="40" t="s">
        <v>1450</v>
      </c>
      <c r="E35" s="73" t="s">
        <v>725</v>
      </c>
      <c r="F35" s="73" t="s">
        <v>541</v>
      </c>
      <c r="G35" s="95" t="s">
        <v>2307</v>
      </c>
      <c r="H35" s="94"/>
      <c r="I35" s="94"/>
      <c r="J35" s="152" t="s">
        <v>2204</v>
      </c>
      <c r="K35" s="68"/>
      <c r="L35" s="53" t="e">
        <f>PROPER(#REF!)</f>
        <v>#REF!</v>
      </c>
    </row>
    <row r="36" spans="1:12" ht="24" customHeight="1">
      <c r="A36" s="9">
        <f t="shared" si="0"/>
        <v>30</v>
      </c>
      <c r="B36" s="21" t="s">
        <v>1659</v>
      </c>
      <c r="C36" s="23" t="s">
        <v>1660</v>
      </c>
      <c r="D36" s="12" t="s">
        <v>1661</v>
      </c>
      <c r="E36" s="35" t="s">
        <v>782</v>
      </c>
      <c r="F36" s="35" t="s">
        <v>556</v>
      </c>
      <c r="G36" s="17" t="s">
        <v>2183</v>
      </c>
      <c r="H36" s="94"/>
      <c r="I36" s="94" t="s">
        <v>1658</v>
      </c>
      <c r="J36" s="152" t="s">
        <v>2204</v>
      </c>
      <c r="K36" s="68" t="str">
        <f>PROPER(B36)</f>
        <v>Trương Hồng</v>
      </c>
      <c r="L36" s="53" t="str">
        <f>PROPER(C36)</f>
        <v>Quảng</v>
      </c>
    </row>
    <row r="37" spans="1:12" ht="24" customHeight="1">
      <c r="A37" s="9">
        <f t="shared" si="0"/>
        <v>31</v>
      </c>
      <c r="B37" s="21" t="s">
        <v>534</v>
      </c>
      <c r="C37" s="23" t="s">
        <v>418</v>
      </c>
      <c r="D37" s="40" t="s">
        <v>1330</v>
      </c>
      <c r="E37" s="73" t="s">
        <v>1648</v>
      </c>
      <c r="F37" s="73" t="s">
        <v>541</v>
      </c>
      <c r="G37" s="95" t="s">
        <v>1707</v>
      </c>
      <c r="H37" s="94"/>
      <c r="I37" s="94"/>
      <c r="J37" s="152" t="s">
        <v>2204</v>
      </c>
      <c r="K37" s="68" t="str">
        <f t="shared" ref="K37:K40" si="6">PROPER(B37)</f>
        <v>Trần Ngọc</v>
      </c>
      <c r="L37" s="53" t="str">
        <f t="shared" ref="L37:L40" si="7">PROPER(C37)</f>
        <v>Quốc</v>
      </c>
    </row>
    <row r="38" spans="1:12" ht="24" customHeight="1">
      <c r="A38" s="9">
        <f t="shared" si="0"/>
        <v>32</v>
      </c>
      <c r="B38" s="21" t="s">
        <v>1351</v>
      </c>
      <c r="C38" s="23" t="s">
        <v>418</v>
      </c>
      <c r="D38" s="40" t="s">
        <v>1406</v>
      </c>
      <c r="E38" s="73" t="s">
        <v>725</v>
      </c>
      <c r="F38" s="73" t="s">
        <v>541</v>
      </c>
      <c r="G38" s="95" t="s">
        <v>1732</v>
      </c>
      <c r="H38" s="94"/>
      <c r="I38" s="94"/>
      <c r="J38" s="152" t="s">
        <v>2204</v>
      </c>
      <c r="K38" s="68" t="str">
        <f t="shared" si="6"/>
        <v>Nguyễn Chí</v>
      </c>
      <c r="L38" s="53" t="str">
        <f t="shared" si="7"/>
        <v>Quốc</v>
      </c>
    </row>
    <row r="39" spans="1:12" ht="24" customHeight="1">
      <c r="A39" s="9">
        <f t="shared" si="0"/>
        <v>33</v>
      </c>
      <c r="B39" s="21" t="s">
        <v>536</v>
      </c>
      <c r="C39" s="23" t="s">
        <v>418</v>
      </c>
      <c r="D39" s="34" t="s">
        <v>1556</v>
      </c>
      <c r="E39" s="35" t="s">
        <v>637</v>
      </c>
      <c r="F39" s="35" t="s">
        <v>541</v>
      </c>
      <c r="G39" s="30" t="s">
        <v>1708</v>
      </c>
      <c r="H39" s="94"/>
      <c r="I39" s="94" t="s">
        <v>1516</v>
      </c>
      <c r="J39" s="152" t="s">
        <v>2204</v>
      </c>
      <c r="K39" s="68" t="str">
        <f t="shared" si="6"/>
        <v>Nguyễn Anh</v>
      </c>
      <c r="L39" s="53" t="str">
        <f t="shared" si="7"/>
        <v>Quốc</v>
      </c>
    </row>
    <row r="40" spans="1:12" ht="24" customHeight="1">
      <c r="A40" s="9">
        <f t="shared" si="0"/>
        <v>34</v>
      </c>
      <c r="B40" s="21" t="s">
        <v>1566</v>
      </c>
      <c r="C40" s="23" t="s">
        <v>78</v>
      </c>
      <c r="D40" s="34" t="s">
        <v>1552</v>
      </c>
      <c r="E40" s="35" t="s">
        <v>1180</v>
      </c>
      <c r="F40" s="35" t="s">
        <v>544</v>
      </c>
      <c r="G40" s="30" t="s">
        <v>2310</v>
      </c>
      <c r="H40" s="94"/>
      <c r="I40" s="94" t="s">
        <v>1516</v>
      </c>
      <c r="J40" s="152" t="s">
        <v>2204</v>
      </c>
      <c r="K40" s="68" t="str">
        <f t="shared" si="6"/>
        <v>Vy Tấn</v>
      </c>
      <c r="L40" s="53" t="str">
        <f t="shared" si="7"/>
        <v>Sang</v>
      </c>
    </row>
    <row r="41" spans="1:12" ht="24" customHeight="1">
      <c r="A41" s="9">
        <f t="shared" si="0"/>
        <v>35</v>
      </c>
      <c r="B41" s="21" t="s">
        <v>1133</v>
      </c>
      <c r="C41" s="23" t="s">
        <v>1402</v>
      </c>
      <c r="D41" s="40" t="s">
        <v>1404</v>
      </c>
      <c r="E41" s="73" t="s">
        <v>1025</v>
      </c>
      <c r="F41" s="73" t="s">
        <v>556</v>
      </c>
      <c r="G41" s="95" t="s">
        <v>1523</v>
      </c>
      <c r="H41" s="94"/>
      <c r="I41" s="94"/>
      <c r="J41" s="152" t="s">
        <v>2204</v>
      </c>
      <c r="K41" s="68" t="e">
        <f>PROPER(#REF!)</f>
        <v>#REF!</v>
      </c>
      <c r="L41" s="53" t="e">
        <f>PROPER(#REF!)</f>
        <v>#REF!</v>
      </c>
    </row>
    <row r="42" spans="1:12" ht="24" customHeight="1">
      <c r="A42" s="9">
        <f t="shared" si="0"/>
        <v>36</v>
      </c>
      <c r="B42" s="21" t="s">
        <v>522</v>
      </c>
      <c r="C42" s="23" t="s">
        <v>62</v>
      </c>
      <c r="D42" s="34">
        <v>39623</v>
      </c>
      <c r="E42" s="35" t="s">
        <v>995</v>
      </c>
      <c r="F42" s="35" t="s">
        <v>544</v>
      </c>
      <c r="G42" s="30" t="s">
        <v>1709</v>
      </c>
      <c r="H42" s="133"/>
      <c r="I42" s="94"/>
      <c r="J42" s="152" t="s">
        <v>2215</v>
      </c>
      <c r="K42" s="68" t="str">
        <f t="shared" ref="K42" si="8">PROPER(B42)</f>
        <v>Nguyễn Thanh</v>
      </c>
      <c r="L42" s="53" t="str">
        <f t="shared" ref="L42" si="9">PROPER(C42)</f>
        <v>Thiện</v>
      </c>
    </row>
    <row r="43" spans="1:12" ht="24" customHeight="1">
      <c r="A43" s="9">
        <f t="shared" si="0"/>
        <v>37</v>
      </c>
      <c r="B43" s="21" t="s">
        <v>1150</v>
      </c>
      <c r="C43" s="23" t="s">
        <v>151</v>
      </c>
      <c r="D43" s="12" t="s">
        <v>1663</v>
      </c>
      <c r="E43" s="35" t="s">
        <v>1290</v>
      </c>
      <c r="F43" s="35" t="s">
        <v>541</v>
      </c>
      <c r="G43" s="17" t="s">
        <v>2313</v>
      </c>
      <c r="H43" s="94"/>
      <c r="I43" s="94" t="s">
        <v>1658</v>
      </c>
      <c r="J43" s="152" t="s">
        <v>2204</v>
      </c>
      <c r="K43" s="68" t="str">
        <f t="shared" ref="K43:K44" si="10">PROPER(B43)</f>
        <v>Trần Văn</v>
      </c>
      <c r="L43" s="53" t="str">
        <f t="shared" ref="L43:L44" si="11">PROPER(C43)</f>
        <v>Tiến</v>
      </c>
    </row>
    <row r="44" spans="1:12" ht="24" customHeight="1">
      <c r="A44" s="9">
        <f t="shared" si="0"/>
        <v>38</v>
      </c>
      <c r="B44" s="21" t="s">
        <v>1726</v>
      </c>
      <c r="C44" s="23" t="s">
        <v>130</v>
      </c>
      <c r="D44" s="40" t="s">
        <v>1728</v>
      </c>
      <c r="E44" s="73" t="s">
        <v>2157</v>
      </c>
      <c r="F44" s="73" t="s">
        <v>556</v>
      </c>
      <c r="G44" s="95" t="s">
        <v>2158</v>
      </c>
      <c r="H44" s="94"/>
      <c r="I44" s="94" t="s">
        <v>1720</v>
      </c>
      <c r="J44" s="152" t="s">
        <v>2204</v>
      </c>
      <c r="K44" s="68" t="str">
        <f t="shared" si="10"/>
        <v>Lê Đoàn Anh</v>
      </c>
      <c r="L44" s="53" t="str">
        <f t="shared" si="11"/>
        <v>Toàn</v>
      </c>
    </row>
    <row r="45" spans="1:12" ht="24" customHeight="1">
      <c r="A45" s="9">
        <f t="shared" si="0"/>
        <v>39</v>
      </c>
      <c r="B45" s="21" t="s">
        <v>1223</v>
      </c>
      <c r="C45" s="23" t="s">
        <v>81</v>
      </c>
      <c r="D45" s="40" t="s">
        <v>1231</v>
      </c>
      <c r="E45" s="73" t="s">
        <v>691</v>
      </c>
      <c r="F45" s="73" t="s">
        <v>541</v>
      </c>
      <c r="G45" s="95" t="s">
        <v>2209</v>
      </c>
      <c r="H45" s="94"/>
      <c r="I45" s="94" t="s">
        <v>2041</v>
      </c>
      <c r="J45" s="94" t="s">
        <v>2204</v>
      </c>
      <c r="K45" s="68" t="str">
        <f t="shared" ref="K45:L48" si="12">PROPER(B45)</f>
        <v>Phạm Anh</v>
      </c>
      <c r="L45" s="53" t="str">
        <f t="shared" si="12"/>
        <v>Dũng</v>
      </c>
    </row>
    <row r="46" spans="1:12" ht="24" customHeight="1">
      <c r="A46" s="9">
        <f t="shared" si="0"/>
        <v>40</v>
      </c>
      <c r="B46" s="21" t="s">
        <v>2558</v>
      </c>
      <c r="C46" s="23" t="s">
        <v>2547</v>
      </c>
      <c r="D46" s="40" t="s">
        <v>1875</v>
      </c>
      <c r="E46" s="73" t="s">
        <v>2836</v>
      </c>
      <c r="F46" s="73" t="s">
        <v>565</v>
      </c>
      <c r="G46" s="95" t="s">
        <v>2837</v>
      </c>
      <c r="H46" s="94"/>
      <c r="I46" s="94" t="s">
        <v>2557</v>
      </c>
      <c r="J46" s="94" t="s">
        <v>2204</v>
      </c>
      <c r="K46" s="68" t="str">
        <f t="shared" si="12"/>
        <v>Phan Viết</v>
      </c>
      <c r="L46" s="53" t="str">
        <f t="shared" si="12"/>
        <v>Hảo</v>
      </c>
    </row>
    <row r="47" spans="1:12" ht="24" customHeight="1">
      <c r="A47" s="9">
        <f t="shared" si="0"/>
        <v>41</v>
      </c>
      <c r="B47" s="21" t="s">
        <v>2646</v>
      </c>
      <c r="C47" s="23" t="s">
        <v>2647</v>
      </c>
      <c r="D47" s="40" t="s">
        <v>2648</v>
      </c>
      <c r="E47" s="73" t="s">
        <v>1389</v>
      </c>
      <c r="F47" s="73" t="s">
        <v>541</v>
      </c>
      <c r="G47" s="95" t="s">
        <v>2826</v>
      </c>
      <c r="H47" s="94"/>
      <c r="I47" s="94" t="s">
        <v>2640</v>
      </c>
      <c r="J47" s="94" t="s">
        <v>2204</v>
      </c>
      <c r="K47" s="68" t="str">
        <f t="shared" si="12"/>
        <v>Nguyễn Thế</v>
      </c>
      <c r="L47" s="53" t="str">
        <f t="shared" si="12"/>
        <v>Hiển</v>
      </c>
    </row>
    <row r="48" spans="1:12" ht="24" customHeight="1">
      <c r="A48" s="9">
        <f t="shared" si="0"/>
        <v>42</v>
      </c>
      <c r="B48" s="21" t="s">
        <v>2653</v>
      </c>
      <c r="C48" s="23" t="s">
        <v>216</v>
      </c>
      <c r="D48" s="40" t="s">
        <v>2654</v>
      </c>
      <c r="E48" s="73" t="s">
        <v>1648</v>
      </c>
      <c r="F48" s="73" t="s">
        <v>541</v>
      </c>
      <c r="G48" s="95" t="s">
        <v>2827</v>
      </c>
      <c r="H48" s="94"/>
      <c r="I48" s="94" t="s">
        <v>2640</v>
      </c>
      <c r="J48" s="94" t="s">
        <v>2204</v>
      </c>
      <c r="K48" s="68" t="str">
        <f t="shared" si="12"/>
        <v>Trần Cao</v>
      </c>
      <c r="L48" s="53" t="str">
        <f t="shared" si="12"/>
        <v>Nguyên</v>
      </c>
    </row>
    <row r="49" spans="1:12" ht="24" customHeight="1">
      <c r="A49" s="9">
        <f t="shared" si="0"/>
        <v>43</v>
      </c>
      <c r="B49" s="21" t="s">
        <v>2656</v>
      </c>
      <c r="C49" s="23" t="s">
        <v>252</v>
      </c>
      <c r="D49" s="40" t="s">
        <v>1594</v>
      </c>
      <c r="E49" s="73" t="s">
        <v>1025</v>
      </c>
      <c r="F49" s="73" t="s">
        <v>556</v>
      </c>
      <c r="G49" s="95" t="s">
        <v>2711</v>
      </c>
      <c r="H49" s="94"/>
      <c r="I49" s="94" t="s">
        <v>2640</v>
      </c>
      <c r="J49" s="94" t="s">
        <v>2204</v>
      </c>
      <c r="K49" s="68" t="str">
        <f t="shared" ref="K49:K52" si="13">PROPER(B49)</f>
        <v>Phan Anh</v>
      </c>
      <c r="L49" s="53" t="str">
        <f t="shared" ref="L49:L52" si="14">PROPER(C49)</f>
        <v>Tú</v>
      </c>
    </row>
    <row r="50" spans="1:12" ht="24" customHeight="1">
      <c r="A50" s="9">
        <f t="shared" si="0"/>
        <v>44</v>
      </c>
      <c r="B50" s="21" t="s">
        <v>1209</v>
      </c>
      <c r="C50" s="23" t="s">
        <v>92</v>
      </c>
      <c r="D50" s="40" t="s">
        <v>3073</v>
      </c>
      <c r="E50" s="73" t="s">
        <v>918</v>
      </c>
      <c r="F50" s="73" t="s">
        <v>541</v>
      </c>
      <c r="G50" s="95" t="s">
        <v>3195</v>
      </c>
      <c r="H50" s="94"/>
      <c r="I50" s="94" t="s">
        <v>3070</v>
      </c>
      <c r="J50" s="94" t="s">
        <v>2204</v>
      </c>
      <c r="K50" s="68" t="str">
        <f t="shared" si="13"/>
        <v>Nguyễn Thành</v>
      </c>
      <c r="L50" s="53" t="str">
        <f t="shared" si="14"/>
        <v>Nhân</v>
      </c>
    </row>
    <row r="51" spans="1:12" ht="24" customHeight="1">
      <c r="A51" s="9">
        <f t="shared" si="0"/>
        <v>45</v>
      </c>
      <c r="B51" s="21" t="s">
        <v>2115</v>
      </c>
      <c r="C51" s="23" t="s">
        <v>97</v>
      </c>
      <c r="D51" s="40" t="s">
        <v>3074</v>
      </c>
      <c r="E51" s="73" t="s">
        <v>630</v>
      </c>
      <c r="F51" s="73" t="s">
        <v>541</v>
      </c>
      <c r="G51" s="95" t="s">
        <v>3147</v>
      </c>
      <c r="H51" s="94"/>
      <c r="I51" s="94" t="s">
        <v>3070</v>
      </c>
      <c r="J51" s="94" t="s">
        <v>2204</v>
      </c>
      <c r="K51" s="68" t="str">
        <f t="shared" si="13"/>
        <v>Lê Ngọc</v>
      </c>
      <c r="L51" s="53" t="str">
        <f t="shared" si="14"/>
        <v>Phương</v>
      </c>
    </row>
    <row r="52" spans="1:12" ht="24" customHeight="1">
      <c r="A52" s="9">
        <f t="shared" si="0"/>
        <v>46</v>
      </c>
      <c r="B52" s="21" t="s">
        <v>3047</v>
      </c>
      <c r="C52" s="23" t="s">
        <v>478</v>
      </c>
      <c r="D52" s="41">
        <v>39562</v>
      </c>
      <c r="E52" s="73" t="s">
        <v>560</v>
      </c>
      <c r="F52" s="73" t="s">
        <v>541</v>
      </c>
      <c r="G52" s="95" t="s">
        <v>3277</v>
      </c>
      <c r="H52" s="94"/>
      <c r="I52" s="94" t="s">
        <v>3272</v>
      </c>
      <c r="J52" s="94" t="s">
        <v>2204</v>
      </c>
      <c r="K52" s="68" t="str">
        <f t="shared" si="13"/>
        <v>Nguyễn Viết</v>
      </c>
      <c r="L52" s="53" t="str">
        <f t="shared" si="14"/>
        <v>Kỳ</v>
      </c>
    </row>
    <row r="53" spans="1:12" ht="24" customHeight="1">
      <c r="A53" s="9">
        <f t="shared" si="0"/>
        <v>47</v>
      </c>
      <c r="B53" s="21" t="s">
        <v>3308</v>
      </c>
      <c r="C53" s="23" t="s">
        <v>9</v>
      </c>
      <c r="D53" s="41">
        <v>39403</v>
      </c>
      <c r="E53" s="73" t="s">
        <v>630</v>
      </c>
      <c r="F53" s="73" t="s">
        <v>541</v>
      </c>
      <c r="G53" s="95" t="s">
        <v>3372</v>
      </c>
      <c r="H53" s="94"/>
      <c r="I53" s="94" t="s">
        <v>3304</v>
      </c>
      <c r="J53" s="103" t="s">
        <v>3371</v>
      </c>
      <c r="K53" s="68" t="str">
        <f t="shared" ref="K53:K55" si="15">PROPER(B53)</f>
        <v>Võ Hưng</v>
      </c>
      <c r="L53" s="53" t="str">
        <f t="shared" ref="L53:L55" si="16">PROPER(C53)</f>
        <v>Nam</v>
      </c>
    </row>
    <row r="54" spans="1:12" ht="24" customHeight="1">
      <c r="A54" s="9">
        <f t="shared" si="0"/>
        <v>48</v>
      </c>
      <c r="B54" s="21" t="s">
        <v>2849</v>
      </c>
      <c r="C54" s="23" t="s">
        <v>17</v>
      </c>
      <c r="D54" s="41">
        <v>39551</v>
      </c>
      <c r="E54" s="73" t="s">
        <v>2187</v>
      </c>
      <c r="F54" s="73" t="s">
        <v>573</v>
      </c>
      <c r="G54" s="95" t="s">
        <v>3439</v>
      </c>
      <c r="H54" s="94"/>
      <c r="I54" s="94" t="s">
        <v>3427</v>
      </c>
      <c r="J54" s="94" t="s">
        <v>2204</v>
      </c>
      <c r="K54" s="68" t="str">
        <f t="shared" si="15"/>
        <v>Nguyễn Việt</v>
      </c>
      <c r="L54" s="53" t="str">
        <f t="shared" si="16"/>
        <v>Hoàng</v>
      </c>
    </row>
    <row r="55" spans="1:12" ht="24" customHeight="1">
      <c r="A55" s="9">
        <f t="shared" si="0"/>
        <v>49</v>
      </c>
      <c r="B55" s="21" t="s">
        <v>3452</v>
      </c>
      <c r="C55" s="23" t="s">
        <v>3453</v>
      </c>
      <c r="D55" s="41">
        <v>39276</v>
      </c>
      <c r="E55" s="73" t="s">
        <v>693</v>
      </c>
      <c r="F55" s="73" t="s">
        <v>556</v>
      </c>
      <c r="G55" s="95" t="s">
        <v>3517</v>
      </c>
      <c r="H55" s="94"/>
      <c r="I55" s="94" t="s">
        <v>3451</v>
      </c>
      <c r="J55" s="103" t="s">
        <v>3455</v>
      </c>
      <c r="K55" s="68" t="str">
        <f t="shared" si="15"/>
        <v>Nguyễn Lưu</v>
      </c>
      <c r="L55" s="53" t="str">
        <f t="shared" si="16"/>
        <v>Truyền</v>
      </c>
    </row>
  </sheetData>
  <sortState ref="B7:J44">
    <sortCondition ref="C7:C44"/>
  </sortState>
  <mergeCells count="8">
    <mergeCell ref="B6:C6"/>
    <mergeCell ref="E6:F6"/>
    <mergeCell ref="A1:D1"/>
    <mergeCell ref="E1:H1"/>
    <mergeCell ref="A2:D2"/>
    <mergeCell ref="E2:H2"/>
    <mergeCell ref="A4:H4"/>
    <mergeCell ref="A5:H5"/>
  </mergeCells>
  <pageMargins left="0.24" right="0.2" top="0.75" bottom="0.3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46" workbookViewId="0">
      <selection activeCell="J37" sqref="J37"/>
    </sheetView>
  </sheetViews>
  <sheetFormatPr defaultRowHeight="15"/>
  <cols>
    <col min="1" max="1" width="4.5703125" style="1" customWidth="1"/>
    <col min="2" max="2" width="19.42578125" style="1" customWidth="1"/>
    <col min="3" max="3" width="8.28515625" style="1" customWidth="1"/>
    <col min="4" max="4" width="11" style="1" customWidth="1"/>
    <col min="5" max="5" width="15.140625" style="1" customWidth="1"/>
    <col min="6" max="6" width="13.28515625" style="1" customWidth="1"/>
    <col min="7" max="7" width="13" style="1" customWidth="1"/>
    <col min="8" max="8" width="13.7109375" style="1" customWidth="1"/>
    <col min="9" max="9" width="18.28515625" style="8" customWidth="1"/>
    <col min="10" max="10" width="28.140625" style="124" customWidth="1"/>
    <col min="11" max="11" width="20.140625" style="96" customWidth="1"/>
    <col min="12" max="12" width="9.140625" style="96"/>
    <col min="13" max="16384" width="9.140625" style="1"/>
  </cols>
  <sheetData>
    <row r="1" spans="1:12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</row>
    <row r="2" spans="1:12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</row>
    <row r="3" spans="1:12" ht="15.75" customHeight="1">
      <c r="A3" s="2"/>
      <c r="B3" s="3"/>
      <c r="C3" s="3"/>
      <c r="D3" s="3"/>
    </row>
    <row r="4" spans="1:12" ht="15.75" customHeight="1">
      <c r="A4" s="308" t="s">
        <v>10</v>
      </c>
      <c r="B4" s="308"/>
      <c r="C4" s="308"/>
      <c r="D4" s="308"/>
      <c r="E4" s="308"/>
      <c r="F4" s="308"/>
      <c r="G4" s="308"/>
      <c r="H4" s="308"/>
    </row>
    <row r="5" spans="1:12" s="4" customFormat="1" ht="23.25" customHeight="1">
      <c r="A5" s="309" t="s">
        <v>1828</v>
      </c>
      <c r="B5" s="309"/>
      <c r="C5" s="309"/>
      <c r="D5" s="309"/>
      <c r="E5" s="309"/>
      <c r="F5" s="309"/>
      <c r="G5" s="309"/>
      <c r="H5" s="309"/>
      <c r="I5" s="116"/>
      <c r="J5" s="124"/>
      <c r="K5" s="97"/>
      <c r="L5" s="97"/>
    </row>
    <row r="6" spans="1:12" s="8" customFormat="1" ht="45.75" customHeight="1">
      <c r="A6" s="5" t="s">
        <v>4</v>
      </c>
      <c r="B6" s="302" t="s">
        <v>5</v>
      </c>
      <c r="C6" s="303"/>
      <c r="D6" s="6" t="s">
        <v>6</v>
      </c>
      <c r="E6" s="304" t="s">
        <v>11</v>
      </c>
      <c r="F6" s="305"/>
      <c r="G6" s="20" t="s">
        <v>1359</v>
      </c>
      <c r="H6" s="20" t="s">
        <v>186</v>
      </c>
      <c r="I6" s="20" t="s">
        <v>2216</v>
      </c>
      <c r="J6" s="151" t="s">
        <v>2217</v>
      </c>
      <c r="K6" s="98"/>
      <c r="L6" s="98"/>
    </row>
    <row r="7" spans="1:12" ht="24" customHeight="1">
      <c r="A7" s="9">
        <f t="shared" ref="A7:A29" si="0">ROW()-6</f>
        <v>1</v>
      </c>
      <c r="B7" s="21" t="s">
        <v>1126</v>
      </c>
      <c r="C7" s="23" t="s">
        <v>94</v>
      </c>
      <c r="D7" s="41">
        <v>39604</v>
      </c>
      <c r="E7" s="73" t="s">
        <v>2509</v>
      </c>
      <c r="F7" s="73" t="s">
        <v>556</v>
      </c>
      <c r="G7" s="95" t="s">
        <v>2510</v>
      </c>
      <c r="H7" s="94"/>
      <c r="I7" s="75" t="s">
        <v>1834</v>
      </c>
      <c r="J7" s="153" t="s">
        <v>2204</v>
      </c>
      <c r="K7" s="98" t="str">
        <f t="shared" ref="K7:L19" si="1">PROPER(B7)</f>
        <v>Nguyễn Duy</v>
      </c>
      <c r="L7" s="96" t="str">
        <f t="shared" si="1"/>
        <v>An</v>
      </c>
    </row>
    <row r="8" spans="1:12" ht="24" customHeight="1">
      <c r="A8" s="9">
        <f t="shared" si="0"/>
        <v>2</v>
      </c>
      <c r="B8" s="21" t="s">
        <v>1814</v>
      </c>
      <c r="C8" s="23" t="s">
        <v>70</v>
      </c>
      <c r="D8" s="40" t="s">
        <v>1826</v>
      </c>
      <c r="E8" s="73" t="s">
        <v>2168</v>
      </c>
      <c r="F8" s="73" t="s">
        <v>565</v>
      </c>
      <c r="G8" s="95" t="s">
        <v>2169</v>
      </c>
      <c r="H8" s="94"/>
      <c r="I8" s="75" t="s">
        <v>1834</v>
      </c>
      <c r="J8" s="153" t="s">
        <v>2204</v>
      </c>
      <c r="K8" s="98" t="str">
        <f t="shared" si="1"/>
        <v>Lê Tiến</v>
      </c>
      <c r="L8" s="96" t="str">
        <f t="shared" si="1"/>
        <v>Anh</v>
      </c>
    </row>
    <row r="9" spans="1:12" ht="24" customHeight="1">
      <c r="A9" s="9">
        <f t="shared" si="0"/>
        <v>3</v>
      </c>
      <c r="B9" s="21" t="s">
        <v>1907</v>
      </c>
      <c r="C9" s="23" t="s">
        <v>70</v>
      </c>
      <c r="D9" s="40" t="s">
        <v>1910</v>
      </c>
      <c r="E9" s="73" t="s">
        <v>2324</v>
      </c>
      <c r="F9" s="73" t="s">
        <v>731</v>
      </c>
      <c r="G9" s="95" t="s">
        <v>2325</v>
      </c>
      <c r="H9" s="94"/>
      <c r="I9" s="75" t="s">
        <v>1912</v>
      </c>
      <c r="J9" s="153" t="s">
        <v>3346</v>
      </c>
      <c r="K9" s="98" t="str">
        <f t="shared" si="1"/>
        <v>Bùi Ngọc</v>
      </c>
      <c r="L9" s="96" t="str">
        <f t="shared" si="1"/>
        <v>Anh</v>
      </c>
    </row>
    <row r="10" spans="1:12" ht="24" customHeight="1">
      <c r="A10" s="9">
        <f t="shared" si="0"/>
        <v>4</v>
      </c>
      <c r="B10" s="21" t="s">
        <v>1108</v>
      </c>
      <c r="C10" s="23" t="s">
        <v>66</v>
      </c>
      <c r="D10" s="40" t="s">
        <v>1260</v>
      </c>
      <c r="E10" s="73" t="s">
        <v>1738</v>
      </c>
      <c r="F10" s="73" t="s">
        <v>573</v>
      </c>
      <c r="G10" s="95" t="s">
        <v>2171</v>
      </c>
      <c r="H10" s="94"/>
      <c r="I10" s="75" t="s">
        <v>1834</v>
      </c>
      <c r="J10" s="153" t="s">
        <v>2204</v>
      </c>
      <c r="K10" s="98" t="str">
        <f t="shared" si="1"/>
        <v>Nguyễn Tiến</v>
      </c>
      <c r="L10" s="96" t="str">
        <f t="shared" si="1"/>
        <v>Đức</v>
      </c>
    </row>
    <row r="11" spans="1:12" ht="24" customHeight="1">
      <c r="A11" s="9">
        <f t="shared" si="0"/>
        <v>5</v>
      </c>
      <c r="B11" s="21" t="s">
        <v>1574</v>
      </c>
      <c r="C11" s="23" t="s">
        <v>66</v>
      </c>
      <c r="D11" s="40" t="s">
        <v>1561</v>
      </c>
      <c r="E11" s="73" t="s">
        <v>2316</v>
      </c>
      <c r="F11" s="73" t="s">
        <v>556</v>
      </c>
      <c r="G11" s="95" t="s">
        <v>2317</v>
      </c>
      <c r="H11" s="94"/>
      <c r="I11" s="75" t="s">
        <v>2099</v>
      </c>
      <c r="J11" s="153" t="s">
        <v>2204</v>
      </c>
      <c r="K11" s="98" t="str">
        <f t="shared" si="1"/>
        <v xml:space="preserve">Triệu Việt </v>
      </c>
      <c r="L11" s="96" t="str">
        <f t="shared" si="1"/>
        <v>Đức</v>
      </c>
    </row>
    <row r="12" spans="1:12" ht="24" customHeight="1">
      <c r="A12" s="9">
        <f t="shared" si="0"/>
        <v>6</v>
      </c>
      <c r="B12" s="21" t="s">
        <v>1758</v>
      </c>
      <c r="C12" s="23" t="s">
        <v>27</v>
      </c>
      <c r="D12" s="40" t="s">
        <v>1761</v>
      </c>
      <c r="E12" s="73" t="s">
        <v>2042</v>
      </c>
      <c r="F12" s="73" t="s">
        <v>556</v>
      </c>
      <c r="G12" s="95" t="s">
        <v>2323</v>
      </c>
      <c r="H12" s="94"/>
      <c r="I12" s="75" t="s">
        <v>1764</v>
      </c>
      <c r="J12" s="153" t="s">
        <v>2204</v>
      </c>
      <c r="K12" s="98" t="str">
        <f t="shared" si="1"/>
        <v>Nguyễn Hoài Lê</v>
      </c>
      <c r="L12" s="96" t="str">
        <f t="shared" si="1"/>
        <v>Duy</v>
      </c>
    </row>
    <row r="13" spans="1:12" ht="24" customHeight="1">
      <c r="A13" s="9">
        <f t="shared" si="0"/>
        <v>7</v>
      </c>
      <c r="B13" s="21" t="s">
        <v>1811</v>
      </c>
      <c r="C13" s="23" t="s">
        <v>27</v>
      </c>
      <c r="D13" s="40" t="s">
        <v>1824</v>
      </c>
      <c r="E13" s="73" t="s">
        <v>628</v>
      </c>
      <c r="F13" s="73" t="s">
        <v>631</v>
      </c>
      <c r="G13" s="95" t="s">
        <v>2173</v>
      </c>
      <c r="H13" s="94"/>
      <c r="I13" s="75" t="s">
        <v>1834</v>
      </c>
      <c r="J13" s="290" t="s">
        <v>3334</v>
      </c>
      <c r="K13" s="98" t="str">
        <f t="shared" si="1"/>
        <v>Nguyễn Trần Bảo</v>
      </c>
      <c r="L13" s="96" t="str">
        <f t="shared" si="1"/>
        <v>Duy</v>
      </c>
    </row>
    <row r="14" spans="1:12" ht="24" customHeight="1">
      <c r="A14" s="9">
        <f t="shared" si="0"/>
        <v>8</v>
      </c>
      <c r="B14" s="21" t="s">
        <v>1319</v>
      </c>
      <c r="C14" s="23" t="s">
        <v>1806</v>
      </c>
      <c r="D14" s="40" t="s">
        <v>1818</v>
      </c>
      <c r="E14" s="73" t="s">
        <v>653</v>
      </c>
      <c r="F14" s="73" t="s">
        <v>544</v>
      </c>
      <c r="G14" s="95" t="s">
        <v>2327</v>
      </c>
      <c r="H14" s="94"/>
      <c r="I14" s="75" t="s">
        <v>1834</v>
      </c>
      <c r="J14" s="153" t="s">
        <v>2208</v>
      </c>
      <c r="K14" s="98" t="str">
        <f t="shared" si="1"/>
        <v>Phạm Công</v>
      </c>
      <c r="L14" s="96" t="str">
        <f t="shared" si="1"/>
        <v>Hiệu</v>
      </c>
    </row>
    <row r="15" spans="1:12" ht="24" customHeight="1">
      <c r="A15" s="9">
        <f t="shared" si="0"/>
        <v>9</v>
      </c>
      <c r="B15" s="21" t="s">
        <v>1810</v>
      </c>
      <c r="C15" s="23" t="s">
        <v>520</v>
      </c>
      <c r="D15" s="40" t="s">
        <v>1823</v>
      </c>
      <c r="E15" s="73" t="s">
        <v>946</v>
      </c>
      <c r="F15" s="73" t="s">
        <v>573</v>
      </c>
      <c r="G15" s="95" t="s">
        <v>2136</v>
      </c>
      <c r="H15" s="94"/>
      <c r="I15" s="75" t="s">
        <v>1834</v>
      </c>
      <c r="J15" s="153" t="s">
        <v>2204</v>
      </c>
      <c r="K15" s="98" t="str">
        <f t="shared" si="1"/>
        <v>Đặng Minh</v>
      </c>
      <c r="L15" s="96" t="str">
        <f t="shared" si="1"/>
        <v>Hoài</v>
      </c>
    </row>
    <row r="16" spans="1:12" ht="24" customHeight="1">
      <c r="A16" s="9">
        <f t="shared" si="0"/>
        <v>10</v>
      </c>
      <c r="B16" s="21" t="s">
        <v>1807</v>
      </c>
      <c r="C16" s="23" t="s">
        <v>123</v>
      </c>
      <c r="D16" s="40" t="s">
        <v>1820</v>
      </c>
      <c r="E16" s="73" t="s">
        <v>554</v>
      </c>
      <c r="F16" s="73" t="s">
        <v>544</v>
      </c>
      <c r="G16" s="95" t="s">
        <v>2166</v>
      </c>
      <c r="H16" s="94"/>
      <c r="I16" s="75" t="s">
        <v>1834</v>
      </c>
      <c r="J16" s="153" t="s">
        <v>2315</v>
      </c>
      <c r="K16" s="98" t="str">
        <f t="shared" si="1"/>
        <v>Phạm Tấn Phi</v>
      </c>
      <c r="L16" s="96" t="str">
        <f t="shared" si="1"/>
        <v>Hùng</v>
      </c>
    </row>
    <row r="17" spans="1:12" ht="24" customHeight="1">
      <c r="A17" s="9">
        <f t="shared" si="0"/>
        <v>11</v>
      </c>
      <c r="B17" s="21" t="s">
        <v>1367</v>
      </c>
      <c r="C17" s="23" t="s">
        <v>123</v>
      </c>
      <c r="D17" s="41">
        <v>39541</v>
      </c>
      <c r="E17" s="73" t="s">
        <v>946</v>
      </c>
      <c r="F17" s="73" t="s">
        <v>573</v>
      </c>
      <c r="G17" s="93" t="s">
        <v>1368</v>
      </c>
      <c r="H17" s="103"/>
      <c r="I17" s="75" t="s">
        <v>2135</v>
      </c>
      <c r="J17" s="153" t="s">
        <v>3345</v>
      </c>
      <c r="K17" s="98" t="str">
        <f t="shared" si="1"/>
        <v>Phan Mạnh</v>
      </c>
      <c r="L17" s="96" t="str">
        <f t="shared" si="1"/>
        <v>Hùng</v>
      </c>
    </row>
    <row r="18" spans="1:12" ht="24" customHeight="1">
      <c r="A18" s="9">
        <f t="shared" si="0"/>
        <v>12</v>
      </c>
      <c r="B18" s="21" t="s">
        <v>1759</v>
      </c>
      <c r="C18" s="23" t="s">
        <v>128</v>
      </c>
      <c r="D18" s="40" t="s">
        <v>1762</v>
      </c>
      <c r="E18" s="73" t="s">
        <v>614</v>
      </c>
      <c r="F18" s="73" t="s">
        <v>573</v>
      </c>
      <c r="G18" s="95" t="s">
        <v>2172</v>
      </c>
      <c r="H18" s="94"/>
      <c r="I18" s="75" t="s">
        <v>1764</v>
      </c>
      <c r="J18" s="153" t="s">
        <v>2207</v>
      </c>
      <c r="K18" s="98" t="str">
        <f t="shared" si="1"/>
        <v>Hoàng Gia</v>
      </c>
      <c r="L18" s="96" t="str">
        <f t="shared" si="1"/>
        <v>Huy</v>
      </c>
    </row>
    <row r="19" spans="1:12" ht="24" customHeight="1">
      <c r="A19" s="9">
        <f t="shared" si="0"/>
        <v>13</v>
      </c>
      <c r="B19" s="21" t="s">
        <v>1760</v>
      </c>
      <c r="C19" s="23" t="s">
        <v>128</v>
      </c>
      <c r="D19" s="40" t="s">
        <v>1763</v>
      </c>
      <c r="E19" s="73" t="s">
        <v>630</v>
      </c>
      <c r="F19" s="73" t="s">
        <v>541</v>
      </c>
      <c r="G19" s="95" t="s">
        <v>2318</v>
      </c>
      <c r="H19" s="94"/>
      <c r="I19" s="75" t="s">
        <v>1764</v>
      </c>
      <c r="J19" s="153" t="s">
        <v>2204</v>
      </c>
      <c r="K19" s="98" t="str">
        <f t="shared" si="1"/>
        <v>Lê Bá</v>
      </c>
      <c r="L19" s="96" t="str">
        <f t="shared" si="1"/>
        <v>Huy</v>
      </c>
    </row>
    <row r="20" spans="1:12" ht="24" customHeight="1">
      <c r="A20" s="9">
        <f t="shared" si="0"/>
        <v>14</v>
      </c>
      <c r="B20" s="21" t="s">
        <v>1937</v>
      </c>
      <c r="C20" s="23" t="s">
        <v>128</v>
      </c>
      <c r="D20" s="40" t="s">
        <v>1940</v>
      </c>
      <c r="E20" s="73" t="s">
        <v>725</v>
      </c>
      <c r="F20" s="73" t="s">
        <v>541</v>
      </c>
      <c r="G20" s="95" t="s">
        <v>2161</v>
      </c>
      <c r="H20" s="94"/>
      <c r="I20" s="75" t="s">
        <v>1936</v>
      </c>
      <c r="J20" s="153" t="s">
        <v>2204</v>
      </c>
      <c r="K20" s="98" t="str">
        <f t="shared" ref="K20:K34" si="2">PROPER(B20)</f>
        <v>Trần Bùi Quang</v>
      </c>
      <c r="L20" s="96" t="str">
        <f t="shared" ref="L20:L34" si="3">PROPER(C20)</f>
        <v>Huy</v>
      </c>
    </row>
    <row r="21" spans="1:12" ht="24" customHeight="1">
      <c r="A21" s="9">
        <f t="shared" si="0"/>
        <v>15</v>
      </c>
      <c r="B21" s="21" t="s">
        <v>1908</v>
      </c>
      <c r="C21" s="23" t="s">
        <v>115</v>
      </c>
      <c r="D21" s="40" t="s">
        <v>1911</v>
      </c>
      <c r="E21" s="73" t="s">
        <v>570</v>
      </c>
      <c r="F21" s="73" t="s">
        <v>541</v>
      </c>
      <c r="G21" s="95" t="s">
        <v>2160</v>
      </c>
      <c r="H21" s="94"/>
      <c r="I21" s="75" t="s">
        <v>1912</v>
      </c>
      <c r="J21" s="153" t="s">
        <v>2204</v>
      </c>
      <c r="K21" s="98" t="str">
        <f t="shared" si="2"/>
        <v>Phan Quốc</v>
      </c>
      <c r="L21" s="96" t="str">
        <f t="shared" si="3"/>
        <v>Khải</v>
      </c>
    </row>
    <row r="22" spans="1:12" ht="24" customHeight="1">
      <c r="A22" s="9">
        <f t="shared" si="0"/>
        <v>16</v>
      </c>
      <c r="B22" s="21" t="s">
        <v>1879</v>
      </c>
      <c r="C22" s="23" t="s">
        <v>58</v>
      </c>
      <c r="D22" s="40" t="s">
        <v>1846</v>
      </c>
      <c r="E22" s="73" t="s">
        <v>693</v>
      </c>
      <c r="F22" s="73" t="s">
        <v>556</v>
      </c>
      <c r="G22" s="95" t="s">
        <v>2164</v>
      </c>
      <c r="H22" s="94"/>
      <c r="I22" s="75" t="s">
        <v>1884</v>
      </c>
      <c r="J22" s="153" t="s">
        <v>2204</v>
      </c>
      <c r="K22" s="98" t="str">
        <f t="shared" si="2"/>
        <v>Đặng Duy</v>
      </c>
      <c r="L22" s="96" t="str">
        <f t="shared" si="3"/>
        <v>Khang</v>
      </c>
    </row>
    <row r="23" spans="1:12" ht="24" customHeight="1">
      <c r="A23" s="9">
        <f t="shared" si="0"/>
        <v>17</v>
      </c>
      <c r="B23" s="21" t="s">
        <v>1963</v>
      </c>
      <c r="C23" s="23" t="s">
        <v>179</v>
      </c>
      <c r="D23" s="40" t="s">
        <v>1967</v>
      </c>
      <c r="E23" s="73" t="s">
        <v>2153</v>
      </c>
      <c r="F23" s="73" t="s">
        <v>553</v>
      </c>
      <c r="G23" s="95" t="s">
        <v>2154</v>
      </c>
      <c r="H23" s="94"/>
      <c r="I23" s="75" t="s">
        <v>1955</v>
      </c>
      <c r="J23" s="153" t="s">
        <v>2204</v>
      </c>
      <c r="K23" s="98" t="str">
        <f t="shared" si="2"/>
        <v>Trần Triệu Quốc</v>
      </c>
      <c r="L23" s="96" t="str">
        <f t="shared" si="3"/>
        <v>Khiêm</v>
      </c>
    </row>
    <row r="24" spans="1:12" ht="24" customHeight="1">
      <c r="A24" s="9">
        <f t="shared" si="0"/>
        <v>18</v>
      </c>
      <c r="B24" s="21" t="s">
        <v>1817</v>
      </c>
      <c r="C24" s="23" t="s">
        <v>60</v>
      </c>
      <c r="D24" s="40" t="s">
        <v>1827</v>
      </c>
      <c r="E24" s="73" t="s">
        <v>748</v>
      </c>
      <c r="F24" s="73" t="s">
        <v>541</v>
      </c>
      <c r="G24" s="95" t="s">
        <v>2167</v>
      </c>
      <c r="H24" s="94"/>
      <c r="I24" s="75" t="s">
        <v>1834</v>
      </c>
      <c r="J24" s="153" t="s">
        <v>2204</v>
      </c>
      <c r="K24" s="98" t="str">
        <f t="shared" si="2"/>
        <v>Nguyễn Hoàng Đăng</v>
      </c>
      <c r="L24" s="96" t="str">
        <f t="shared" si="3"/>
        <v>Khoa</v>
      </c>
    </row>
    <row r="25" spans="1:12" ht="24" customHeight="1">
      <c r="A25" s="9">
        <f t="shared" si="0"/>
        <v>19</v>
      </c>
      <c r="B25" s="21" t="s">
        <v>1778</v>
      </c>
      <c r="C25" s="23" t="s">
        <v>2319</v>
      </c>
      <c r="D25" s="41">
        <v>39688</v>
      </c>
      <c r="E25" s="73" t="s">
        <v>873</v>
      </c>
      <c r="F25" s="73" t="s">
        <v>544</v>
      </c>
      <c r="G25" s="95" t="s">
        <v>2320</v>
      </c>
      <c r="H25" s="94"/>
      <c r="I25" s="75" t="s">
        <v>1777</v>
      </c>
      <c r="J25" s="153" t="s">
        <v>2204</v>
      </c>
      <c r="K25" s="98" t="str">
        <f t="shared" si="2"/>
        <v>Nguyễn Tấn</v>
      </c>
      <c r="L25" s="96" t="str">
        <f t="shared" si="3"/>
        <v>Khỏe</v>
      </c>
    </row>
    <row r="26" spans="1:12" ht="24" customHeight="1">
      <c r="A26" s="9">
        <f t="shared" si="0"/>
        <v>20</v>
      </c>
      <c r="B26" s="21" t="s">
        <v>1876</v>
      </c>
      <c r="C26" s="23" t="s">
        <v>1877</v>
      </c>
      <c r="D26" s="40" t="s">
        <v>1881</v>
      </c>
      <c r="E26" s="73" t="s">
        <v>750</v>
      </c>
      <c r="F26" s="73" t="s">
        <v>541</v>
      </c>
      <c r="G26" s="95" t="s">
        <v>2712</v>
      </c>
      <c r="H26" s="94"/>
      <c r="I26" s="75" t="s">
        <v>1884</v>
      </c>
      <c r="J26" s="153" t="s">
        <v>2208</v>
      </c>
      <c r="K26" s="98" t="str">
        <f t="shared" si="2"/>
        <v>Trần Văn Gia</v>
      </c>
      <c r="L26" s="96" t="str">
        <f t="shared" si="3"/>
        <v>Khương</v>
      </c>
    </row>
    <row r="27" spans="1:12" ht="24" customHeight="1">
      <c r="A27" s="9">
        <f t="shared" si="0"/>
        <v>21</v>
      </c>
      <c r="B27" s="21" t="s">
        <v>1808</v>
      </c>
      <c r="C27" s="23" t="s">
        <v>208</v>
      </c>
      <c r="D27" s="40" t="s">
        <v>1821</v>
      </c>
      <c r="E27" s="73" t="s">
        <v>1011</v>
      </c>
      <c r="F27" s="73" t="s">
        <v>556</v>
      </c>
      <c r="G27" s="95" t="s">
        <v>2176</v>
      </c>
      <c r="H27" s="94"/>
      <c r="I27" s="75" t="s">
        <v>1834</v>
      </c>
      <c r="J27" s="153" t="s">
        <v>2204</v>
      </c>
      <c r="K27" s="98" t="str">
        <f t="shared" si="2"/>
        <v>Huỳnh Quang</v>
      </c>
      <c r="L27" s="96" t="str">
        <f t="shared" si="3"/>
        <v>Lâm</v>
      </c>
    </row>
    <row r="28" spans="1:12" ht="24" customHeight="1">
      <c r="A28" s="9">
        <f t="shared" si="0"/>
        <v>22</v>
      </c>
      <c r="B28" s="21" t="s">
        <v>1547</v>
      </c>
      <c r="C28" s="23" t="s">
        <v>90</v>
      </c>
      <c r="D28" s="40" t="s">
        <v>1819</v>
      </c>
      <c r="E28" s="73" t="s">
        <v>887</v>
      </c>
      <c r="F28" s="73" t="s">
        <v>544</v>
      </c>
      <c r="G28" s="93">
        <v>329836646</v>
      </c>
      <c r="H28" s="94"/>
      <c r="I28" s="75" t="s">
        <v>1834</v>
      </c>
      <c r="J28" s="153" t="s">
        <v>2208</v>
      </c>
      <c r="K28" s="98" t="str">
        <f t="shared" si="2"/>
        <v>Phạm Nhật</v>
      </c>
      <c r="L28" s="96" t="str">
        <f t="shared" si="3"/>
        <v>Long</v>
      </c>
    </row>
    <row r="29" spans="1:12" ht="24" customHeight="1">
      <c r="A29" s="9">
        <f t="shared" si="0"/>
        <v>23</v>
      </c>
      <c r="B29" s="21" t="s">
        <v>1956</v>
      </c>
      <c r="C29" s="23" t="s">
        <v>161</v>
      </c>
      <c r="D29" s="40" t="s">
        <v>1100</v>
      </c>
      <c r="E29" s="73" t="s">
        <v>787</v>
      </c>
      <c r="F29" s="73" t="s">
        <v>541</v>
      </c>
      <c r="G29" s="95" t="s">
        <v>2328</v>
      </c>
      <c r="H29" s="94"/>
      <c r="I29" s="75" t="s">
        <v>1936</v>
      </c>
      <c r="J29" s="153" t="s">
        <v>2204</v>
      </c>
      <c r="K29" s="98" t="str">
        <f t="shared" si="2"/>
        <v>Dương Đức</v>
      </c>
      <c r="L29" s="96" t="str">
        <f t="shared" si="3"/>
        <v>Mạnh</v>
      </c>
    </row>
    <row r="30" spans="1:12" ht="24" customHeight="1">
      <c r="A30" s="9">
        <f t="shared" ref="A30:A55" si="4">ROW()-6</f>
        <v>24</v>
      </c>
      <c r="B30" s="21" t="s">
        <v>1442</v>
      </c>
      <c r="C30" s="23" t="s">
        <v>216</v>
      </c>
      <c r="D30" s="41">
        <v>38353</v>
      </c>
      <c r="E30" s="73" t="s">
        <v>868</v>
      </c>
      <c r="F30" s="73" t="s">
        <v>541</v>
      </c>
      <c r="G30" s="95" t="s">
        <v>2322</v>
      </c>
      <c r="H30" s="94"/>
      <c r="I30" s="75" t="s">
        <v>1834</v>
      </c>
      <c r="J30" s="153" t="s">
        <v>2204</v>
      </c>
      <c r="K30" s="98" t="str">
        <f t="shared" si="2"/>
        <v>Nguyễn Trung</v>
      </c>
      <c r="L30" s="96" t="str">
        <f t="shared" si="3"/>
        <v>Nguyên</v>
      </c>
    </row>
    <row r="31" spans="1:12" ht="24" customHeight="1">
      <c r="A31" s="9">
        <f t="shared" si="4"/>
        <v>25</v>
      </c>
      <c r="B31" s="21" t="s">
        <v>1880</v>
      </c>
      <c r="C31" s="23" t="s">
        <v>74</v>
      </c>
      <c r="D31" s="40" t="s">
        <v>1883</v>
      </c>
      <c r="E31" s="73" t="s">
        <v>2162</v>
      </c>
      <c r="F31" s="73" t="s">
        <v>541</v>
      </c>
      <c r="G31" s="95" t="s">
        <v>2163</v>
      </c>
      <c r="H31" s="94"/>
      <c r="I31" s="75" t="s">
        <v>1884</v>
      </c>
      <c r="J31" s="153" t="s">
        <v>2207</v>
      </c>
      <c r="K31" s="98" t="str">
        <f t="shared" si="2"/>
        <v>Lê Công</v>
      </c>
      <c r="L31" s="96" t="str">
        <f t="shared" si="3"/>
        <v>Nhật</v>
      </c>
    </row>
    <row r="32" spans="1:12" ht="24" customHeight="1">
      <c r="A32" s="9">
        <f t="shared" si="4"/>
        <v>26</v>
      </c>
      <c r="B32" s="21" t="s">
        <v>1779</v>
      </c>
      <c r="C32" s="23" t="s">
        <v>201</v>
      </c>
      <c r="D32" s="40" t="s">
        <v>1532</v>
      </c>
      <c r="E32" s="73" t="s">
        <v>1376</v>
      </c>
      <c r="F32" s="73" t="s">
        <v>556</v>
      </c>
      <c r="G32" s="95" t="s">
        <v>2321</v>
      </c>
      <c r="H32" s="94"/>
      <c r="I32" s="75" t="s">
        <v>1777</v>
      </c>
      <c r="J32" s="153" t="s">
        <v>2204</v>
      </c>
      <c r="K32" s="98" t="str">
        <f t="shared" si="2"/>
        <v>Trần Mạnh</v>
      </c>
      <c r="L32" s="96" t="str">
        <f t="shared" si="3"/>
        <v>Quân</v>
      </c>
    </row>
    <row r="33" spans="1:12" ht="24" customHeight="1">
      <c r="A33" s="9">
        <f t="shared" si="4"/>
        <v>27</v>
      </c>
      <c r="B33" s="21" t="s">
        <v>1938</v>
      </c>
      <c r="C33" s="23" t="s">
        <v>201</v>
      </c>
      <c r="D33" s="40" t="s">
        <v>1939</v>
      </c>
      <c r="E33" s="73" t="s">
        <v>624</v>
      </c>
      <c r="F33" s="73" t="s">
        <v>553</v>
      </c>
      <c r="G33" s="95" t="s">
        <v>2159</v>
      </c>
      <c r="H33" s="94"/>
      <c r="I33" s="75" t="s">
        <v>1936</v>
      </c>
      <c r="J33" s="153" t="s">
        <v>2204</v>
      </c>
      <c r="K33" s="98" t="str">
        <f t="shared" si="2"/>
        <v>Nguyễn Khắc</v>
      </c>
      <c r="L33" s="96" t="str">
        <f t="shared" si="3"/>
        <v>Quân</v>
      </c>
    </row>
    <row r="34" spans="1:12" ht="24" customHeight="1">
      <c r="A34" s="9">
        <f t="shared" si="4"/>
        <v>28</v>
      </c>
      <c r="B34" s="21" t="s">
        <v>1809</v>
      </c>
      <c r="C34" s="23" t="s">
        <v>64</v>
      </c>
      <c r="D34" s="40" t="s">
        <v>1822</v>
      </c>
      <c r="E34" s="73" t="s">
        <v>1011</v>
      </c>
      <c r="F34" s="73" t="s">
        <v>556</v>
      </c>
      <c r="G34" s="95" t="s">
        <v>2177</v>
      </c>
      <c r="H34" s="94"/>
      <c r="I34" s="75" t="s">
        <v>1834</v>
      </c>
      <c r="J34" s="153" t="s">
        <v>2204</v>
      </c>
      <c r="K34" s="98" t="str">
        <f t="shared" si="2"/>
        <v>Lê Quang</v>
      </c>
      <c r="L34" s="96" t="str">
        <f t="shared" si="3"/>
        <v>Quang</v>
      </c>
    </row>
    <row r="35" spans="1:12" ht="24" customHeight="1">
      <c r="A35" s="9">
        <f t="shared" si="4"/>
        <v>29</v>
      </c>
      <c r="B35" s="21" t="s">
        <v>1773</v>
      </c>
      <c r="C35" s="23" t="s">
        <v>47</v>
      </c>
      <c r="D35" s="41">
        <v>39803</v>
      </c>
      <c r="E35" s="73" t="s">
        <v>711</v>
      </c>
      <c r="F35" s="73" t="s">
        <v>541</v>
      </c>
      <c r="G35" s="95" t="s">
        <v>2587</v>
      </c>
      <c r="H35" s="94"/>
      <c r="I35" s="135" t="s">
        <v>1889</v>
      </c>
      <c r="J35" s="153" t="s">
        <v>3344</v>
      </c>
      <c r="K35" s="98" t="str">
        <f t="shared" ref="K35:L41" si="5">PROPER(B35)</f>
        <v>Trương Văn</v>
      </c>
      <c r="L35" s="96" t="str">
        <f t="shared" si="5"/>
        <v>Thịnh</v>
      </c>
    </row>
    <row r="36" spans="1:12" ht="24" customHeight="1">
      <c r="A36" s="9">
        <f t="shared" si="4"/>
        <v>30</v>
      </c>
      <c r="B36" s="21" t="s">
        <v>1962</v>
      </c>
      <c r="C36" s="23" t="s">
        <v>151</v>
      </c>
      <c r="D36" s="40" t="s">
        <v>1966</v>
      </c>
      <c r="E36" s="73" t="s">
        <v>614</v>
      </c>
      <c r="F36" s="73" t="s">
        <v>573</v>
      </c>
      <c r="G36" s="95" t="s">
        <v>2713</v>
      </c>
      <c r="H36" s="94"/>
      <c r="I36" s="75" t="s">
        <v>1955</v>
      </c>
      <c r="J36" s="153" t="s">
        <v>3501</v>
      </c>
      <c r="K36" s="98" t="str">
        <f t="shared" si="5"/>
        <v>Trần Hoàng Minh</v>
      </c>
      <c r="L36" s="96" t="str">
        <f t="shared" si="5"/>
        <v>Tiến</v>
      </c>
    </row>
    <row r="37" spans="1:12" ht="24" customHeight="1">
      <c r="A37" s="9">
        <f t="shared" si="4"/>
        <v>31</v>
      </c>
      <c r="B37" s="21" t="s">
        <v>1805</v>
      </c>
      <c r="C37" s="23" t="s">
        <v>224</v>
      </c>
      <c r="D37" s="40" t="s">
        <v>1801</v>
      </c>
      <c r="E37" s="73" t="s">
        <v>2162</v>
      </c>
      <c r="F37" s="73" t="s">
        <v>541</v>
      </c>
      <c r="G37" s="95" t="s">
        <v>2165</v>
      </c>
      <c r="H37" s="94"/>
      <c r="I37" s="75" t="s">
        <v>1834</v>
      </c>
      <c r="J37" s="153" t="s">
        <v>2204</v>
      </c>
      <c r="K37" s="98" t="str">
        <f t="shared" si="5"/>
        <v>Võ Ngọc</v>
      </c>
      <c r="L37" s="96" t="str">
        <f t="shared" si="5"/>
        <v>Trí</v>
      </c>
    </row>
    <row r="38" spans="1:12" ht="24" customHeight="1">
      <c r="A38" s="9">
        <f t="shared" si="4"/>
        <v>32</v>
      </c>
      <c r="B38" s="21" t="s">
        <v>1851</v>
      </c>
      <c r="C38" s="23" t="s">
        <v>106</v>
      </c>
      <c r="D38" s="40" t="s">
        <v>1761</v>
      </c>
      <c r="E38" s="73" t="s">
        <v>1065</v>
      </c>
      <c r="F38" s="73" t="s">
        <v>544</v>
      </c>
      <c r="G38" s="95" t="s">
        <v>2326</v>
      </c>
      <c r="H38" s="94"/>
      <c r="I38" s="75" t="s">
        <v>1884</v>
      </c>
      <c r="J38" s="153" t="s">
        <v>2204</v>
      </c>
      <c r="K38" s="98" t="str">
        <f t="shared" si="5"/>
        <v>Nguyễn Bảo</v>
      </c>
      <c r="L38" s="96" t="str">
        <f t="shared" si="5"/>
        <v>Trọng</v>
      </c>
    </row>
    <row r="39" spans="1:12" ht="24" customHeight="1">
      <c r="A39" s="9">
        <f t="shared" si="4"/>
        <v>33</v>
      </c>
      <c r="B39" s="21" t="s">
        <v>536</v>
      </c>
      <c r="C39" s="23" t="s">
        <v>1278</v>
      </c>
      <c r="D39" s="40" t="s">
        <v>1253</v>
      </c>
      <c r="E39" s="73" t="s">
        <v>614</v>
      </c>
      <c r="F39" s="73" t="s">
        <v>573</v>
      </c>
      <c r="G39" s="95" t="s">
        <v>2178</v>
      </c>
      <c r="H39" s="94"/>
      <c r="I39" s="75" t="s">
        <v>1720</v>
      </c>
      <c r="J39" s="153" t="s">
        <v>2204</v>
      </c>
      <c r="K39" s="98" t="str">
        <f t="shared" si="5"/>
        <v>Nguyễn Anh</v>
      </c>
      <c r="L39" s="96" t="str">
        <f t="shared" si="5"/>
        <v>Tuấn</v>
      </c>
    </row>
    <row r="40" spans="1:12" ht="24" customHeight="1">
      <c r="A40" s="9">
        <f t="shared" si="4"/>
        <v>34</v>
      </c>
      <c r="B40" s="21" t="s">
        <v>1878</v>
      </c>
      <c r="C40" s="23" t="s">
        <v>1278</v>
      </c>
      <c r="D40" s="40" t="s">
        <v>1882</v>
      </c>
      <c r="E40" s="73" t="s">
        <v>1160</v>
      </c>
      <c r="F40" s="73" t="s">
        <v>556</v>
      </c>
      <c r="G40" s="95" t="s">
        <v>2218</v>
      </c>
      <c r="H40" s="94"/>
      <c r="I40" s="75" t="s">
        <v>1884</v>
      </c>
      <c r="J40" s="153" t="s">
        <v>2204</v>
      </c>
      <c r="K40" s="98" t="str">
        <f t="shared" si="5"/>
        <v>Đồng Quốc</v>
      </c>
      <c r="L40" s="96" t="str">
        <f t="shared" si="5"/>
        <v>Tuấn</v>
      </c>
    </row>
    <row r="41" spans="1:12" ht="24" customHeight="1">
      <c r="A41" s="9">
        <f t="shared" si="4"/>
        <v>35</v>
      </c>
      <c r="B41" s="21" t="s">
        <v>1964</v>
      </c>
      <c r="C41" s="23" t="s">
        <v>1965</v>
      </c>
      <c r="D41" s="40" t="s">
        <v>1968</v>
      </c>
      <c r="E41" s="73" t="s">
        <v>735</v>
      </c>
      <c r="F41" s="73" t="s">
        <v>556</v>
      </c>
      <c r="G41" s="95" t="s">
        <v>2152</v>
      </c>
      <c r="H41" s="94"/>
      <c r="I41" s="75" t="s">
        <v>1955</v>
      </c>
      <c r="J41" s="153" t="s">
        <v>2204</v>
      </c>
      <c r="K41" s="98" t="str">
        <f t="shared" si="5"/>
        <v>Rơ Châm</v>
      </c>
      <c r="L41" s="96" t="str">
        <f t="shared" si="5"/>
        <v>Tuệ</v>
      </c>
    </row>
    <row r="42" spans="1:12" ht="24" customHeight="1">
      <c r="A42" s="9">
        <f t="shared" si="4"/>
        <v>36</v>
      </c>
      <c r="B42" s="21" t="s">
        <v>1572</v>
      </c>
      <c r="C42" s="23" t="s">
        <v>40</v>
      </c>
      <c r="D42" s="40" t="s">
        <v>1558</v>
      </c>
      <c r="E42" s="73" t="s">
        <v>827</v>
      </c>
      <c r="F42" s="73" t="s">
        <v>544</v>
      </c>
      <c r="G42" s="93" t="s">
        <v>1710</v>
      </c>
      <c r="H42" s="94"/>
      <c r="I42" s="75" t="s">
        <v>1516</v>
      </c>
      <c r="J42" s="153" t="s">
        <v>2204</v>
      </c>
      <c r="K42" s="98" t="str">
        <f t="shared" ref="K42" si="6">PROPER(B42)</f>
        <v>Đỗ Hữu</v>
      </c>
      <c r="L42" s="96" t="str">
        <f t="shared" ref="L42" si="7">PROPER(C42)</f>
        <v>Tùng</v>
      </c>
    </row>
    <row r="43" spans="1:12" ht="24" customHeight="1">
      <c r="A43" s="9">
        <f t="shared" si="4"/>
        <v>37</v>
      </c>
      <c r="B43" s="21" t="s">
        <v>1815</v>
      </c>
      <c r="C43" s="23" t="s">
        <v>1816</v>
      </c>
      <c r="D43" s="40" t="s">
        <v>1262</v>
      </c>
      <c r="E43" s="73" t="s">
        <v>1648</v>
      </c>
      <c r="F43" s="73" t="s">
        <v>541</v>
      </c>
      <c r="G43" s="95" t="s">
        <v>2170</v>
      </c>
      <c r="H43" s="94"/>
      <c r="I43" s="75" t="s">
        <v>1834</v>
      </c>
      <c r="J43" s="153" t="s">
        <v>2204</v>
      </c>
      <c r="K43" s="98" t="str">
        <f t="shared" ref="K43:K45" si="8">PROPER(B43)</f>
        <v>Phạm Ngọc</v>
      </c>
      <c r="L43" s="96" t="str">
        <f t="shared" ref="L43:L45" si="9">PROPER(C43)</f>
        <v>Tý</v>
      </c>
    </row>
    <row r="44" spans="1:12" ht="24" customHeight="1">
      <c r="A44" s="9">
        <f t="shared" si="4"/>
        <v>38</v>
      </c>
      <c r="B44" s="21" t="s">
        <v>1575</v>
      </c>
      <c r="C44" s="23" t="s">
        <v>1576</v>
      </c>
      <c r="D44" s="40" t="s">
        <v>1562</v>
      </c>
      <c r="E44" s="73" t="s">
        <v>661</v>
      </c>
      <c r="F44" s="73" t="s">
        <v>541</v>
      </c>
      <c r="G44" s="93" t="s">
        <v>1711</v>
      </c>
      <c r="H44" s="94"/>
      <c r="I44" s="75" t="s">
        <v>1516</v>
      </c>
      <c r="J44" s="153" t="s">
        <v>2204</v>
      </c>
      <c r="K44" s="98" t="str">
        <f t="shared" si="8"/>
        <v>Trần Kỳ</v>
      </c>
      <c r="L44" s="96" t="str">
        <f t="shared" si="9"/>
        <v>Vận</v>
      </c>
    </row>
    <row r="45" spans="1:12" ht="24" customHeight="1">
      <c r="A45" s="9">
        <f t="shared" si="4"/>
        <v>39</v>
      </c>
      <c r="B45" s="21" t="s">
        <v>1424</v>
      </c>
      <c r="C45" s="23" t="s">
        <v>101</v>
      </c>
      <c r="D45" s="40" t="s">
        <v>1565</v>
      </c>
      <c r="E45" s="73" t="s">
        <v>748</v>
      </c>
      <c r="F45" s="73" t="s">
        <v>541</v>
      </c>
      <c r="G45" s="93" t="s">
        <v>1712</v>
      </c>
      <c r="H45" s="94"/>
      <c r="I45" s="75" t="s">
        <v>1926</v>
      </c>
      <c r="J45" s="153" t="s">
        <v>2204</v>
      </c>
      <c r="K45" s="98" t="str">
        <f t="shared" si="8"/>
        <v>Đặng Thanh</v>
      </c>
      <c r="L45" s="96" t="str">
        <f t="shared" si="9"/>
        <v>Vinh</v>
      </c>
    </row>
    <row r="46" spans="1:12" ht="24" customHeight="1">
      <c r="A46" s="9">
        <f t="shared" si="4"/>
        <v>40</v>
      </c>
      <c r="B46" s="21" t="s">
        <v>1812</v>
      </c>
      <c r="C46" s="23" t="s">
        <v>1813</v>
      </c>
      <c r="D46" s="40" t="s">
        <v>1825</v>
      </c>
      <c r="E46" s="73" t="s">
        <v>697</v>
      </c>
      <c r="F46" s="73" t="s">
        <v>556</v>
      </c>
      <c r="G46" s="95" t="s">
        <v>2175</v>
      </c>
      <c r="H46" s="94"/>
      <c r="I46" s="75" t="s">
        <v>1834</v>
      </c>
      <c r="J46" s="153" t="s">
        <v>2215</v>
      </c>
      <c r="K46" s="98" t="str">
        <f t="shared" ref="K46:K51" si="10">PROPER(B46)</f>
        <v>Lê Trung</v>
      </c>
      <c r="L46" s="96" t="str">
        <f t="shared" ref="L46:L51" si="11">PROPER(C46)</f>
        <v>Vĩnh</v>
      </c>
    </row>
    <row r="47" spans="1:12" ht="24" customHeight="1">
      <c r="A47" s="9">
        <f t="shared" si="4"/>
        <v>41</v>
      </c>
      <c r="B47" s="21" t="s">
        <v>1323</v>
      </c>
      <c r="C47" s="23" t="s">
        <v>21</v>
      </c>
      <c r="D47" s="40" t="s">
        <v>1329</v>
      </c>
      <c r="E47" s="73" t="s">
        <v>705</v>
      </c>
      <c r="F47" s="73" t="s">
        <v>541</v>
      </c>
      <c r="G47" s="95" t="s">
        <v>2715</v>
      </c>
      <c r="H47" s="94"/>
      <c r="I47" s="134"/>
      <c r="J47" s="153" t="s">
        <v>2204</v>
      </c>
      <c r="K47" s="98" t="str">
        <f t="shared" si="10"/>
        <v>Nguyễn Văn Triệu</v>
      </c>
      <c r="L47" s="96" t="str">
        <f t="shared" si="11"/>
        <v>Vỹ</v>
      </c>
    </row>
    <row r="48" spans="1:12" ht="24" customHeight="1">
      <c r="A48" s="9">
        <f t="shared" si="4"/>
        <v>42</v>
      </c>
      <c r="B48" s="21" t="s">
        <v>2559</v>
      </c>
      <c r="C48" s="23" t="s">
        <v>2560</v>
      </c>
      <c r="D48" s="40" t="s">
        <v>1188</v>
      </c>
      <c r="E48" s="73" t="s">
        <v>2832</v>
      </c>
      <c r="F48" s="73" t="s">
        <v>544</v>
      </c>
      <c r="G48" s="95" t="s">
        <v>2714</v>
      </c>
      <c r="H48" s="94"/>
      <c r="I48" s="75" t="s">
        <v>2557</v>
      </c>
      <c r="J48" s="153" t="s">
        <v>2204</v>
      </c>
      <c r="K48" s="98" t="str">
        <f t="shared" si="10"/>
        <v>A</v>
      </c>
      <c r="L48" s="96" t="str">
        <f t="shared" si="11"/>
        <v>Phis</v>
      </c>
    </row>
    <row r="49" spans="1:12" ht="24" customHeight="1">
      <c r="A49" s="9">
        <f t="shared" si="4"/>
        <v>43</v>
      </c>
      <c r="B49" s="21" t="s">
        <v>2650</v>
      </c>
      <c r="C49" s="23" t="s">
        <v>287</v>
      </c>
      <c r="D49" s="40" t="s">
        <v>2651</v>
      </c>
      <c r="E49" s="73" t="s">
        <v>1436</v>
      </c>
      <c r="F49" s="73" t="s">
        <v>573</v>
      </c>
      <c r="G49" s="95" t="s">
        <v>2716</v>
      </c>
      <c r="H49" s="94"/>
      <c r="I49" s="75" t="s">
        <v>2640</v>
      </c>
      <c r="J49" s="153" t="s">
        <v>2204</v>
      </c>
      <c r="K49" s="98" t="str">
        <f t="shared" si="10"/>
        <v>Ngô Nhật</v>
      </c>
      <c r="L49" s="96" t="str">
        <f t="shared" si="11"/>
        <v>Trinh</v>
      </c>
    </row>
    <row r="50" spans="1:12" ht="24" customHeight="1">
      <c r="A50" s="9">
        <f t="shared" si="4"/>
        <v>44</v>
      </c>
      <c r="B50" s="21" t="s">
        <v>2045</v>
      </c>
      <c r="C50" s="23" t="s">
        <v>55</v>
      </c>
      <c r="D50" s="40" t="s">
        <v>1316</v>
      </c>
      <c r="E50" s="73" t="s">
        <v>893</v>
      </c>
      <c r="F50" s="73" t="s">
        <v>544</v>
      </c>
      <c r="G50" s="95" t="s">
        <v>2194</v>
      </c>
      <c r="H50" s="136"/>
      <c r="I50" s="75" t="s">
        <v>3342</v>
      </c>
      <c r="J50" s="154" t="s">
        <v>2330</v>
      </c>
      <c r="K50" s="98" t="e">
        <f>PROPER(#REF!)</f>
        <v>#REF!</v>
      </c>
      <c r="L50" s="96" t="e">
        <f>PROPER(#REF!)</f>
        <v>#REF!</v>
      </c>
    </row>
    <row r="51" spans="1:12" ht="24" customHeight="1">
      <c r="A51" s="9">
        <f t="shared" si="4"/>
        <v>45</v>
      </c>
      <c r="B51" s="21" t="s">
        <v>2767</v>
      </c>
      <c r="C51" s="23" t="s">
        <v>60</v>
      </c>
      <c r="D51" s="41">
        <v>39736</v>
      </c>
      <c r="E51" s="73" t="s">
        <v>749</v>
      </c>
      <c r="F51" s="73" t="s">
        <v>541</v>
      </c>
      <c r="G51" s="95" t="s">
        <v>2824</v>
      </c>
      <c r="H51" s="136"/>
      <c r="I51" s="75" t="s">
        <v>2759</v>
      </c>
      <c r="J51" s="154" t="s">
        <v>2204</v>
      </c>
      <c r="K51" s="98" t="str">
        <f t="shared" si="10"/>
        <v>Nguyễn Ngọc Anh</v>
      </c>
      <c r="L51" s="96" t="str">
        <f t="shared" si="11"/>
        <v>Khoa</v>
      </c>
    </row>
    <row r="52" spans="1:12" ht="23.25" customHeight="1">
      <c r="A52" s="9">
        <f t="shared" si="4"/>
        <v>46</v>
      </c>
      <c r="B52" s="21" t="s">
        <v>2843</v>
      </c>
      <c r="C52" s="23" t="s">
        <v>290</v>
      </c>
      <c r="D52" s="238">
        <v>38271</v>
      </c>
      <c r="E52" s="73" t="s">
        <v>946</v>
      </c>
      <c r="F52" s="73" t="s">
        <v>573</v>
      </c>
      <c r="G52" s="95" t="s">
        <v>3093</v>
      </c>
      <c r="H52" s="103"/>
      <c r="I52" s="158" t="s">
        <v>2844</v>
      </c>
      <c r="J52" s="154" t="s">
        <v>3343</v>
      </c>
      <c r="K52" s="98" t="str">
        <f t="shared" ref="K52:K55" si="12">PROPER(B52)</f>
        <v>Võ Viết</v>
      </c>
      <c r="L52" s="96" t="str">
        <f t="shared" ref="L52:L55" si="13">PROPER(C52)</f>
        <v>Vy</v>
      </c>
    </row>
    <row r="53" spans="1:12" ht="23.25" customHeight="1">
      <c r="A53" s="9">
        <f t="shared" si="4"/>
        <v>47</v>
      </c>
      <c r="B53" s="21" t="s">
        <v>3273</v>
      </c>
      <c r="C53" s="23" t="s">
        <v>137</v>
      </c>
      <c r="D53" s="238">
        <v>39723</v>
      </c>
      <c r="E53" s="73" t="s">
        <v>3396</v>
      </c>
      <c r="F53" s="73" t="s">
        <v>544</v>
      </c>
      <c r="G53" s="95" t="s">
        <v>3395</v>
      </c>
      <c r="H53" s="103"/>
      <c r="I53" s="158" t="s">
        <v>3272</v>
      </c>
      <c r="J53" s="154" t="s">
        <v>2204</v>
      </c>
      <c r="K53" s="98" t="str">
        <f t="shared" si="12"/>
        <v xml:space="preserve">Lê Văn Hoàng </v>
      </c>
      <c r="L53" s="96" t="str">
        <f t="shared" si="13"/>
        <v>Hải</v>
      </c>
    </row>
    <row r="54" spans="1:12" ht="23.25" customHeight="1">
      <c r="A54" s="9">
        <f t="shared" si="4"/>
        <v>48</v>
      </c>
      <c r="B54" s="21" t="s">
        <v>3425</v>
      </c>
      <c r="C54" s="23" t="s">
        <v>3460</v>
      </c>
      <c r="D54" s="238">
        <v>38772</v>
      </c>
      <c r="E54" s="73" t="s">
        <v>2743</v>
      </c>
      <c r="F54" s="73" t="s">
        <v>565</v>
      </c>
      <c r="G54" s="95" t="s">
        <v>3518</v>
      </c>
      <c r="H54" s="103"/>
      <c r="I54" s="158" t="s">
        <v>3427</v>
      </c>
      <c r="J54" s="245" t="s">
        <v>3459</v>
      </c>
      <c r="K54" s="98" t="str">
        <f t="shared" si="12"/>
        <v>Lê Việt</v>
      </c>
      <c r="L54" s="96" t="str">
        <f t="shared" si="13"/>
        <v>Cương</v>
      </c>
    </row>
    <row r="55" spans="1:12" ht="23.25" customHeight="1">
      <c r="A55" s="9">
        <f t="shared" si="4"/>
        <v>49</v>
      </c>
      <c r="B55" s="21" t="s">
        <v>3027</v>
      </c>
      <c r="C55" s="23" t="s">
        <v>17</v>
      </c>
      <c r="D55" s="238">
        <v>39329</v>
      </c>
      <c r="E55" s="73" t="s">
        <v>714</v>
      </c>
      <c r="F55" s="73" t="s">
        <v>541</v>
      </c>
      <c r="G55" s="95" t="s">
        <v>3499</v>
      </c>
      <c r="H55" s="103"/>
      <c r="I55" s="158" t="s">
        <v>3479</v>
      </c>
      <c r="J55" s="245" t="s">
        <v>2847</v>
      </c>
      <c r="K55" s="98" t="str">
        <f t="shared" si="12"/>
        <v>Nguyễn Huy</v>
      </c>
      <c r="L55" s="96" t="str">
        <f t="shared" si="13"/>
        <v>Hoàng</v>
      </c>
    </row>
  </sheetData>
  <sortState ref="B7:J48">
    <sortCondition ref="C7:C48"/>
  </sortState>
  <mergeCells count="8">
    <mergeCell ref="B6:C6"/>
    <mergeCell ref="E6:F6"/>
    <mergeCell ref="A1:D1"/>
    <mergeCell ref="E1:H1"/>
    <mergeCell ref="A2:D2"/>
    <mergeCell ref="E2:H2"/>
    <mergeCell ref="A4:H4"/>
    <mergeCell ref="A5:H5"/>
  </mergeCells>
  <pageMargins left="0.2" right="0.2" top="0.75" bottom="0.38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abSelected="1" topLeftCell="A44" workbookViewId="0">
      <selection activeCell="H55" sqref="H55"/>
    </sheetView>
  </sheetViews>
  <sheetFormatPr defaultRowHeight="15"/>
  <cols>
    <col min="1" max="1" width="4.5703125" style="1" customWidth="1"/>
    <col min="2" max="2" width="19.42578125" style="1" customWidth="1"/>
    <col min="3" max="3" width="8.28515625" style="1" customWidth="1"/>
    <col min="4" max="4" width="11" style="1" customWidth="1"/>
    <col min="5" max="5" width="14.85546875" style="1" customWidth="1"/>
    <col min="6" max="6" width="13.28515625" style="1" customWidth="1"/>
    <col min="7" max="7" width="13" style="1" customWidth="1"/>
    <col min="8" max="8" width="14" style="1" customWidth="1"/>
    <col min="9" max="9" width="18.28515625" style="83" customWidth="1"/>
    <col min="10" max="10" width="23.140625" style="81" customWidth="1"/>
    <col min="11" max="11" width="20.140625" style="96" customWidth="1"/>
    <col min="12" max="12" width="9.140625" style="96"/>
    <col min="13" max="16384" width="9.140625" style="1"/>
  </cols>
  <sheetData>
    <row r="1" spans="1:12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</row>
    <row r="2" spans="1:12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</row>
    <row r="3" spans="1:12" ht="15.75" customHeight="1">
      <c r="A3" s="2"/>
      <c r="B3" s="3"/>
      <c r="C3" s="3"/>
      <c r="D3" s="3"/>
    </row>
    <row r="4" spans="1:12" ht="15.75" customHeight="1">
      <c r="A4" s="308" t="s">
        <v>10</v>
      </c>
      <c r="B4" s="308"/>
      <c r="C4" s="308"/>
      <c r="D4" s="308"/>
      <c r="E4" s="308"/>
      <c r="F4" s="308"/>
      <c r="G4" s="308"/>
      <c r="H4" s="308"/>
    </row>
    <row r="5" spans="1:12" s="4" customFormat="1" ht="23.25" customHeight="1">
      <c r="A5" s="309" t="s">
        <v>1961</v>
      </c>
      <c r="B5" s="309"/>
      <c r="C5" s="309"/>
      <c r="D5" s="309"/>
      <c r="E5" s="309"/>
      <c r="F5" s="309"/>
      <c r="G5" s="309"/>
      <c r="H5" s="309"/>
      <c r="I5" s="157"/>
      <c r="J5" s="82"/>
      <c r="K5" s="97"/>
      <c r="L5" s="97"/>
    </row>
    <row r="6" spans="1:12" s="8" customFormat="1" ht="45.75" customHeight="1">
      <c r="A6" s="5" t="s">
        <v>4</v>
      </c>
      <c r="B6" s="302" t="s">
        <v>5</v>
      </c>
      <c r="C6" s="303"/>
      <c r="D6" s="6" t="s">
        <v>6</v>
      </c>
      <c r="E6" s="304" t="s">
        <v>11</v>
      </c>
      <c r="F6" s="305"/>
      <c r="G6" s="20" t="s">
        <v>1359</v>
      </c>
      <c r="H6" s="20" t="s">
        <v>186</v>
      </c>
      <c r="I6" s="20" t="s">
        <v>2295</v>
      </c>
      <c r="J6" s="109" t="s">
        <v>2329</v>
      </c>
      <c r="K6" s="98"/>
      <c r="L6" s="98"/>
    </row>
    <row r="7" spans="1:12" ht="24" customHeight="1">
      <c r="A7" s="9">
        <f t="shared" ref="A7:A55" si="0">ROW()-6</f>
        <v>1</v>
      </c>
      <c r="B7" s="21" t="s">
        <v>2112</v>
      </c>
      <c r="C7" s="23" t="s">
        <v>70</v>
      </c>
      <c r="D7" s="40" t="s">
        <v>2116</v>
      </c>
      <c r="E7" s="73" t="s">
        <v>621</v>
      </c>
      <c r="F7" s="73" t="s">
        <v>544</v>
      </c>
      <c r="G7" s="95" t="s">
        <v>2147</v>
      </c>
      <c r="H7" s="94"/>
      <c r="I7" s="158" t="s">
        <v>2106</v>
      </c>
      <c r="J7" s="154" t="s">
        <v>2204</v>
      </c>
      <c r="K7" s="98" t="str">
        <f t="shared" ref="K7:L11" si="1">PROPER(B7)</f>
        <v>Hoàng Việt</v>
      </c>
      <c r="L7" s="96" t="str">
        <f t="shared" si="1"/>
        <v>Anh</v>
      </c>
    </row>
    <row r="8" spans="1:12" ht="24" customHeight="1">
      <c r="A8" s="9">
        <f t="shared" si="0"/>
        <v>2</v>
      </c>
      <c r="B8" s="21" t="s">
        <v>1077</v>
      </c>
      <c r="C8" s="23" t="s">
        <v>2114</v>
      </c>
      <c r="D8" s="40" t="s">
        <v>1662</v>
      </c>
      <c r="E8" s="73" t="s">
        <v>734</v>
      </c>
      <c r="F8" s="73" t="s">
        <v>573</v>
      </c>
      <c r="G8" s="95" t="s">
        <v>2200</v>
      </c>
      <c r="H8" s="94"/>
      <c r="I8" s="158" t="s">
        <v>2106</v>
      </c>
      <c r="J8" s="154" t="s">
        <v>3347</v>
      </c>
      <c r="K8" s="98" t="str">
        <f t="shared" si="1"/>
        <v>Lê Phương</v>
      </c>
      <c r="L8" s="96" t="str">
        <f t="shared" si="1"/>
        <v>Bắc</v>
      </c>
    </row>
    <row r="9" spans="1:12" ht="24" customHeight="1">
      <c r="A9" s="9">
        <f t="shared" si="0"/>
        <v>3</v>
      </c>
      <c r="B9" s="21" t="s">
        <v>1974</v>
      </c>
      <c r="C9" s="23" t="s">
        <v>55</v>
      </c>
      <c r="D9" s="40" t="s">
        <v>1970</v>
      </c>
      <c r="E9" s="73" t="s">
        <v>573</v>
      </c>
      <c r="F9" s="73" t="s">
        <v>573</v>
      </c>
      <c r="G9" s="95" t="s">
        <v>2151</v>
      </c>
      <c r="H9" s="94"/>
      <c r="I9" s="158" t="s">
        <v>1955</v>
      </c>
      <c r="J9" s="154" t="s">
        <v>2204</v>
      </c>
      <c r="K9" s="98" t="str">
        <f t="shared" si="1"/>
        <v>Trương Gia</v>
      </c>
      <c r="L9" s="96" t="str">
        <f t="shared" si="1"/>
        <v>Bảo</v>
      </c>
    </row>
    <row r="10" spans="1:12" ht="24" customHeight="1">
      <c r="A10" s="9">
        <f t="shared" si="0"/>
        <v>4</v>
      </c>
      <c r="B10" s="21" t="s">
        <v>2060</v>
      </c>
      <c r="C10" s="23" t="s">
        <v>55</v>
      </c>
      <c r="D10" s="40" t="s">
        <v>2067</v>
      </c>
      <c r="E10" s="73" t="s">
        <v>573</v>
      </c>
      <c r="F10" s="73" t="s">
        <v>573</v>
      </c>
      <c r="G10" s="95" t="s">
        <v>2190</v>
      </c>
      <c r="H10" s="94"/>
      <c r="I10" s="158" t="s">
        <v>2072</v>
      </c>
      <c r="J10" s="154" t="s">
        <v>2204</v>
      </c>
      <c r="K10" s="98" t="str">
        <f t="shared" si="1"/>
        <v>Ngô Gia</v>
      </c>
      <c r="L10" s="96" t="str">
        <f t="shared" si="1"/>
        <v>Bảo</v>
      </c>
    </row>
    <row r="11" spans="1:12" ht="24" customHeight="1">
      <c r="A11" s="9">
        <f t="shared" si="0"/>
        <v>5</v>
      </c>
      <c r="B11" s="21" t="s">
        <v>2249</v>
      </c>
      <c r="C11" s="23" t="s">
        <v>1112</v>
      </c>
      <c r="D11" s="40" t="s">
        <v>2254</v>
      </c>
      <c r="E11" s="73" t="s">
        <v>725</v>
      </c>
      <c r="F11" s="73" t="s">
        <v>541</v>
      </c>
      <c r="G11" s="95" t="s">
        <v>2502</v>
      </c>
      <c r="H11" s="94"/>
      <c r="I11" s="158" t="s">
        <v>2243</v>
      </c>
      <c r="J11" s="154" t="s">
        <v>2204</v>
      </c>
      <c r="K11" s="98" t="str">
        <f t="shared" si="1"/>
        <v>Trần Văn Nhật</v>
      </c>
      <c r="L11" s="96" t="str">
        <f t="shared" si="1"/>
        <v>Dương</v>
      </c>
    </row>
    <row r="12" spans="1:12" ht="24" customHeight="1">
      <c r="A12" s="9">
        <f t="shared" si="0"/>
        <v>6</v>
      </c>
      <c r="B12" s="21" t="s">
        <v>2115</v>
      </c>
      <c r="C12" s="23" t="s">
        <v>42</v>
      </c>
      <c r="D12" s="40" t="s">
        <v>2118</v>
      </c>
      <c r="E12" s="73" t="s">
        <v>2201</v>
      </c>
      <c r="F12" s="73" t="s">
        <v>565</v>
      </c>
      <c r="G12" s="95" t="s">
        <v>2202</v>
      </c>
      <c r="H12" s="94"/>
      <c r="I12" s="158" t="s">
        <v>2106</v>
      </c>
      <c r="J12" s="154" t="s">
        <v>2204</v>
      </c>
      <c r="K12" s="98" t="str">
        <f>PROPER(B12)</f>
        <v>Lê Ngọc</v>
      </c>
      <c r="L12" s="96" t="str">
        <f>PROPER(C12)</f>
        <v>Hiếu</v>
      </c>
    </row>
    <row r="13" spans="1:12" ht="24" customHeight="1">
      <c r="A13" s="9">
        <f t="shared" si="0"/>
        <v>7</v>
      </c>
      <c r="B13" s="21" t="s">
        <v>2059</v>
      </c>
      <c r="C13" s="23" t="s">
        <v>145</v>
      </c>
      <c r="D13" s="40" t="s">
        <v>2066</v>
      </c>
      <c r="E13" s="73" t="s">
        <v>621</v>
      </c>
      <c r="F13" s="73" t="s">
        <v>544</v>
      </c>
      <c r="G13" s="95" t="s">
        <v>2192</v>
      </c>
      <c r="H13" s="94"/>
      <c r="I13" s="158" t="s">
        <v>2072</v>
      </c>
      <c r="J13" s="154" t="s">
        <v>2204</v>
      </c>
      <c r="K13" s="98" t="str">
        <f>PROPER(B13)</f>
        <v>Lê Hoàng Đức</v>
      </c>
      <c r="L13" s="96" t="str">
        <f>PROPER(C13)</f>
        <v>Khánh</v>
      </c>
    </row>
    <row r="14" spans="1:12" ht="24" customHeight="1">
      <c r="A14" s="9">
        <f t="shared" si="0"/>
        <v>8</v>
      </c>
      <c r="B14" s="21" t="s">
        <v>2253</v>
      </c>
      <c r="C14" s="23" t="s">
        <v>294</v>
      </c>
      <c r="D14" s="40" t="s">
        <v>2258</v>
      </c>
      <c r="E14" s="73" t="s">
        <v>2503</v>
      </c>
      <c r="F14" s="73" t="s">
        <v>544</v>
      </c>
      <c r="G14" s="95" t="s">
        <v>2504</v>
      </c>
      <c r="H14" s="94"/>
      <c r="I14" s="158" t="s">
        <v>2243</v>
      </c>
      <c r="J14" s="154" t="s">
        <v>2204</v>
      </c>
      <c r="K14" s="98" t="str">
        <f t="shared" ref="K14:L19" si="2">PROPER(B14)</f>
        <v>A Nguyễn Viết</v>
      </c>
      <c r="L14" s="96" t="str">
        <f t="shared" si="2"/>
        <v>Linh</v>
      </c>
    </row>
    <row r="15" spans="1:12" ht="24" customHeight="1">
      <c r="A15" s="9">
        <f t="shared" si="0"/>
        <v>9</v>
      </c>
      <c r="B15" s="21" t="s">
        <v>1975</v>
      </c>
      <c r="C15" s="23" t="s">
        <v>90</v>
      </c>
      <c r="D15" s="40" t="s">
        <v>1971</v>
      </c>
      <c r="E15" s="73" t="s">
        <v>711</v>
      </c>
      <c r="F15" s="73" t="s">
        <v>541</v>
      </c>
      <c r="G15" s="95" t="s">
        <v>2186</v>
      </c>
      <c r="H15" s="94"/>
      <c r="I15" s="158" t="s">
        <v>1955</v>
      </c>
      <c r="J15" s="154" t="s">
        <v>2204</v>
      </c>
      <c r="K15" s="98" t="str">
        <f t="shared" si="2"/>
        <v>Nguyễn Hữu Hoàng</v>
      </c>
      <c r="L15" s="96" t="str">
        <f t="shared" si="2"/>
        <v>Long</v>
      </c>
    </row>
    <row r="16" spans="1:12" ht="24" customHeight="1">
      <c r="A16" s="9">
        <f t="shared" si="0"/>
        <v>10</v>
      </c>
      <c r="B16" s="21" t="s">
        <v>1773</v>
      </c>
      <c r="C16" s="23" t="s">
        <v>90</v>
      </c>
      <c r="D16" s="40" t="s">
        <v>1092</v>
      </c>
      <c r="E16" s="73" t="s">
        <v>540</v>
      </c>
      <c r="F16" s="73" t="s">
        <v>541</v>
      </c>
      <c r="G16" s="95" t="s">
        <v>2519</v>
      </c>
      <c r="H16" s="94"/>
      <c r="I16" s="158" t="s">
        <v>2243</v>
      </c>
      <c r="J16" s="154" t="s">
        <v>2204</v>
      </c>
      <c r="K16" s="98" t="str">
        <f t="shared" si="2"/>
        <v>Trương Văn</v>
      </c>
      <c r="L16" s="96" t="str">
        <f t="shared" si="2"/>
        <v>Long</v>
      </c>
    </row>
    <row r="17" spans="1:12" ht="24" customHeight="1">
      <c r="A17" s="9">
        <f t="shared" si="0"/>
        <v>11</v>
      </c>
      <c r="B17" s="21" t="s">
        <v>1126</v>
      </c>
      <c r="C17" s="23" t="s">
        <v>161</v>
      </c>
      <c r="D17" s="40" t="s">
        <v>2117</v>
      </c>
      <c r="E17" s="73" t="s">
        <v>2500</v>
      </c>
      <c r="F17" s="73" t="s">
        <v>553</v>
      </c>
      <c r="G17" s="95" t="s">
        <v>2501</v>
      </c>
      <c r="H17" s="94"/>
      <c r="I17" s="158" t="s">
        <v>2106</v>
      </c>
      <c r="J17" s="154" t="s">
        <v>2207</v>
      </c>
      <c r="K17" s="98" t="str">
        <f t="shared" si="2"/>
        <v>Nguyễn Duy</v>
      </c>
      <c r="L17" s="96" t="str">
        <f t="shared" si="2"/>
        <v>Mạnh</v>
      </c>
    </row>
    <row r="18" spans="1:12" ht="24" customHeight="1">
      <c r="A18" s="9">
        <f t="shared" si="0"/>
        <v>12</v>
      </c>
      <c r="B18" s="21" t="s">
        <v>1851</v>
      </c>
      <c r="C18" s="23" t="s">
        <v>9</v>
      </c>
      <c r="D18" s="40" t="s">
        <v>1910</v>
      </c>
      <c r="E18" s="73" t="s">
        <v>621</v>
      </c>
      <c r="F18" s="73" t="s">
        <v>544</v>
      </c>
      <c r="G18" s="95" t="s">
        <v>2148</v>
      </c>
      <c r="H18" s="94"/>
      <c r="I18" s="158" t="s">
        <v>2106</v>
      </c>
      <c r="J18" s="154" t="s">
        <v>2204</v>
      </c>
      <c r="K18" s="98" t="str">
        <f t="shared" si="2"/>
        <v>Nguyễn Bảo</v>
      </c>
      <c r="L18" s="96" t="str">
        <f t="shared" si="2"/>
        <v>Nam</v>
      </c>
    </row>
    <row r="19" spans="1:12" ht="24" customHeight="1">
      <c r="A19" s="9">
        <f t="shared" si="0"/>
        <v>13</v>
      </c>
      <c r="B19" s="21" t="s">
        <v>2250</v>
      </c>
      <c r="C19" s="23" t="s">
        <v>9</v>
      </c>
      <c r="D19" s="40" t="s">
        <v>2255</v>
      </c>
      <c r="E19" s="73" t="s">
        <v>703</v>
      </c>
      <c r="F19" s="73" t="s">
        <v>541</v>
      </c>
      <c r="G19" s="95" t="s">
        <v>2516</v>
      </c>
      <c r="H19" s="94"/>
      <c r="I19" s="158" t="s">
        <v>2243</v>
      </c>
      <c r="J19" s="154" t="s">
        <v>2204</v>
      </c>
      <c r="K19" s="98" t="str">
        <f t="shared" si="2"/>
        <v xml:space="preserve">Trần Hoài </v>
      </c>
      <c r="L19" s="96" t="str">
        <f t="shared" si="2"/>
        <v>Nam</v>
      </c>
    </row>
    <row r="20" spans="1:12" ht="24" customHeight="1">
      <c r="A20" s="9">
        <f t="shared" si="0"/>
        <v>14</v>
      </c>
      <c r="B20" s="21" t="s">
        <v>1773</v>
      </c>
      <c r="C20" s="23" t="s">
        <v>216</v>
      </c>
      <c r="D20" s="40" t="s">
        <v>1348</v>
      </c>
      <c r="E20" s="73" t="s">
        <v>588</v>
      </c>
      <c r="F20" s="73" t="s">
        <v>573</v>
      </c>
      <c r="G20" s="95" t="s">
        <v>2191</v>
      </c>
      <c r="H20" s="94"/>
      <c r="I20" s="158" t="s">
        <v>2072</v>
      </c>
      <c r="J20" s="154" t="s">
        <v>2204</v>
      </c>
      <c r="K20" s="98" t="str">
        <f t="shared" ref="K20:L35" si="3">PROPER(B20)</f>
        <v>Trương Văn</v>
      </c>
      <c r="L20" s="96" t="str">
        <f t="shared" si="3"/>
        <v>Nguyên</v>
      </c>
    </row>
    <row r="21" spans="1:12" ht="24" customHeight="1">
      <c r="A21" s="9">
        <f t="shared" si="0"/>
        <v>15</v>
      </c>
      <c r="B21" s="21" t="s">
        <v>1547</v>
      </c>
      <c r="C21" s="23" t="s">
        <v>128</v>
      </c>
      <c r="D21" s="40" t="s">
        <v>2069</v>
      </c>
      <c r="E21" s="73" t="s">
        <v>624</v>
      </c>
      <c r="F21" s="73" t="s">
        <v>541</v>
      </c>
      <c r="G21" s="95" t="s">
        <v>2512</v>
      </c>
      <c r="H21" s="94"/>
      <c r="I21" s="158" t="s">
        <v>2072</v>
      </c>
      <c r="J21" s="154" t="s">
        <v>2204</v>
      </c>
      <c r="K21" s="98" t="str">
        <f t="shared" si="3"/>
        <v>Phạm Nhật</v>
      </c>
      <c r="L21" s="96" t="str">
        <f t="shared" si="3"/>
        <v>Huy</v>
      </c>
    </row>
    <row r="22" spans="1:12" ht="24" customHeight="1">
      <c r="A22" s="9">
        <f t="shared" si="0"/>
        <v>16</v>
      </c>
      <c r="B22" s="21" t="s">
        <v>2251</v>
      </c>
      <c r="C22" s="23" t="s">
        <v>96</v>
      </c>
      <c r="D22" s="40" t="s">
        <v>2256</v>
      </c>
      <c r="E22" s="73" t="s">
        <v>2517</v>
      </c>
      <c r="F22" s="73" t="s">
        <v>549</v>
      </c>
      <c r="G22" s="95" t="s">
        <v>2518</v>
      </c>
      <c r="H22" s="94"/>
      <c r="I22" s="158" t="s">
        <v>2243</v>
      </c>
      <c r="J22" s="154" t="s">
        <v>2204</v>
      </c>
      <c r="K22" s="98" t="str">
        <f t="shared" si="3"/>
        <v>Trần Tấn</v>
      </c>
      <c r="L22" s="96" t="str">
        <f t="shared" si="3"/>
        <v>Phát</v>
      </c>
    </row>
    <row r="23" spans="1:12" ht="24" customHeight="1">
      <c r="A23" s="9">
        <f t="shared" si="0"/>
        <v>17</v>
      </c>
      <c r="B23" s="21" t="s">
        <v>1411</v>
      </c>
      <c r="C23" s="23" t="s">
        <v>19</v>
      </c>
      <c r="D23" s="40" t="s">
        <v>2046</v>
      </c>
      <c r="E23" s="73" t="s">
        <v>1065</v>
      </c>
      <c r="F23" s="73" t="s">
        <v>544</v>
      </c>
      <c r="G23" s="95" t="s">
        <v>2196</v>
      </c>
      <c r="H23" s="94"/>
      <c r="I23" s="158" t="s">
        <v>2018</v>
      </c>
      <c r="J23" s="154" t="s">
        <v>2204</v>
      </c>
      <c r="K23" s="98" t="str">
        <f t="shared" si="3"/>
        <v>Trương Quang</v>
      </c>
      <c r="L23" s="96" t="str">
        <f t="shared" si="3"/>
        <v>Phúc</v>
      </c>
    </row>
    <row r="24" spans="1:12" ht="24" customHeight="1">
      <c r="A24" s="9">
        <f t="shared" si="0"/>
        <v>18</v>
      </c>
      <c r="B24" s="21" t="s">
        <v>398</v>
      </c>
      <c r="C24" s="23" t="s">
        <v>201</v>
      </c>
      <c r="D24" s="40" t="s">
        <v>1531</v>
      </c>
      <c r="E24" s="73" t="s">
        <v>725</v>
      </c>
      <c r="F24" s="73" t="s">
        <v>541</v>
      </c>
      <c r="G24" s="95" t="s">
        <v>2515</v>
      </c>
      <c r="H24" s="94"/>
      <c r="I24" s="158" t="s">
        <v>2243</v>
      </c>
      <c r="J24" s="154" t="s">
        <v>2220</v>
      </c>
      <c r="K24" s="98" t="str">
        <f t="shared" si="3"/>
        <v xml:space="preserve">Trần Văn </v>
      </c>
      <c r="L24" s="96" t="str">
        <f t="shared" si="3"/>
        <v>Quân</v>
      </c>
    </row>
    <row r="25" spans="1:12" ht="24" customHeight="1">
      <c r="A25" s="9">
        <f t="shared" si="0"/>
        <v>19</v>
      </c>
      <c r="B25" s="21" t="s">
        <v>2020</v>
      </c>
      <c r="C25" s="23" t="s">
        <v>64</v>
      </c>
      <c r="D25" s="40" t="s">
        <v>1242</v>
      </c>
      <c r="E25" s="73" t="s">
        <v>661</v>
      </c>
      <c r="F25" s="73" t="s">
        <v>541</v>
      </c>
      <c r="G25" s="95" t="s">
        <v>2197</v>
      </c>
      <c r="H25" s="94"/>
      <c r="I25" s="158" t="s">
        <v>2018</v>
      </c>
      <c r="J25" s="154" t="s">
        <v>2207</v>
      </c>
      <c r="K25" s="98" t="str">
        <f t="shared" si="3"/>
        <v>Đinh Tiên</v>
      </c>
      <c r="L25" s="96" t="str">
        <f t="shared" si="3"/>
        <v>Quang</v>
      </c>
    </row>
    <row r="26" spans="1:12" ht="24" customHeight="1">
      <c r="A26" s="9">
        <f t="shared" si="0"/>
        <v>20</v>
      </c>
      <c r="B26" s="21" t="s">
        <v>2021</v>
      </c>
      <c r="C26" s="23" t="s">
        <v>64</v>
      </c>
      <c r="D26" s="40" t="s">
        <v>1143</v>
      </c>
      <c r="E26" s="73" t="s">
        <v>1389</v>
      </c>
      <c r="F26" s="73" t="s">
        <v>541</v>
      </c>
      <c r="G26" s="95" t="s">
        <v>2149</v>
      </c>
      <c r="H26" s="94"/>
      <c r="I26" s="158" t="s">
        <v>2018</v>
      </c>
      <c r="J26" s="154" t="s">
        <v>2204</v>
      </c>
      <c r="K26" s="98" t="str">
        <f t="shared" si="3"/>
        <v>Nguyễn Đăng</v>
      </c>
      <c r="L26" s="96" t="str">
        <f t="shared" si="3"/>
        <v>Quang</v>
      </c>
    </row>
    <row r="27" spans="1:12" ht="24" customHeight="1">
      <c r="A27" s="9">
        <f t="shared" si="0"/>
        <v>21</v>
      </c>
      <c r="B27" s="21" t="s">
        <v>2058</v>
      </c>
      <c r="C27" s="23" t="s">
        <v>418</v>
      </c>
      <c r="D27" s="40" t="s">
        <v>2065</v>
      </c>
      <c r="E27" s="73" t="s">
        <v>629</v>
      </c>
      <c r="F27" s="73" t="s">
        <v>541</v>
      </c>
      <c r="G27" s="95" t="s">
        <v>2195</v>
      </c>
      <c r="H27" s="94"/>
      <c r="I27" s="158" t="s">
        <v>2072</v>
      </c>
      <c r="J27" s="154" t="s">
        <v>2204</v>
      </c>
      <c r="K27" s="98" t="str">
        <f t="shared" si="3"/>
        <v>Lê Đình</v>
      </c>
      <c r="L27" s="96" t="str">
        <f t="shared" si="3"/>
        <v>Quốc</v>
      </c>
    </row>
    <row r="28" spans="1:12" ht="24" customHeight="1">
      <c r="A28" s="9">
        <f t="shared" si="0"/>
        <v>22</v>
      </c>
      <c r="B28" s="21" t="s">
        <v>2062</v>
      </c>
      <c r="C28" s="23" t="s">
        <v>98</v>
      </c>
      <c r="D28" s="40" t="s">
        <v>1328</v>
      </c>
      <c r="E28" s="73" t="s">
        <v>2187</v>
      </c>
      <c r="F28" s="73" t="s">
        <v>573</v>
      </c>
      <c r="G28" s="95" t="s">
        <v>2188</v>
      </c>
      <c r="H28" s="94"/>
      <c r="I28" s="158" t="s">
        <v>2072</v>
      </c>
      <c r="J28" s="154" t="s">
        <v>2204</v>
      </c>
      <c r="K28" s="98" t="str">
        <f t="shared" si="3"/>
        <v>Đinh Nguyễn Anh</v>
      </c>
      <c r="L28" s="96" t="str">
        <f t="shared" si="3"/>
        <v>Tài</v>
      </c>
    </row>
    <row r="29" spans="1:12" ht="24" customHeight="1">
      <c r="A29" s="9">
        <f t="shared" si="0"/>
        <v>23</v>
      </c>
      <c r="B29" s="21" t="s">
        <v>1972</v>
      </c>
      <c r="C29" s="23" t="s">
        <v>31</v>
      </c>
      <c r="D29" s="40" t="s">
        <v>1935</v>
      </c>
      <c r="E29" s="73" t="s">
        <v>717</v>
      </c>
      <c r="F29" s="73" t="s">
        <v>544</v>
      </c>
      <c r="G29" s="95" t="s">
        <v>2156</v>
      </c>
      <c r="H29" s="94"/>
      <c r="I29" s="158" t="s">
        <v>1955</v>
      </c>
      <c r="J29" s="154" t="s">
        <v>2204</v>
      </c>
      <c r="K29" s="98" t="str">
        <f t="shared" si="3"/>
        <v>Phạm Đình</v>
      </c>
      <c r="L29" s="96" t="str">
        <f t="shared" si="3"/>
        <v>Thanh</v>
      </c>
    </row>
    <row r="30" spans="1:12" ht="24" customHeight="1">
      <c r="A30" s="9">
        <f t="shared" si="0"/>
        <v>24</v>
      </c>
      <c r="B30" s="21" t="s">
        <v>522</v>
      </c>
      <c r="C30" s="23" t="s">
        <v>498</v>
      </c>
      <c r="D30" s="40" t="s">
        <v>2071</v>
      </c>
      <c r="E30" s="73" t="s">
        <v>665</v>
      </c>
      <c r="F30" s="73" t="s">
        <v>541</v>
      </c>
      <c r="G30" s="95" t="s">
        <v>2150</v>
      </c>
      <c r="H30" s="94"/>
      <c r="I30" s="158" t="s">
        <v>2072</v>
      </c>
      <c r="J30" s="154" t="s">
        <v>2204</v>
      </c>
      <c r="K30" s="98" t="str">
        <f t="shared" si="3"/>
        <v>Nguyễn Thanh</v>
      </c>
      <c r="L30" s="96" t="str">
        <f t="shared" si="3"/>
        <v>Thiên</v>
      </c>
    </row>
    <row r="31" spans="1:12" ht="24" customHeight="1">
      <c r="A31" s="9">
        <f t="shared" si="0"/>
        <v>25</v>
      </c>
      <c r="B31" s="21" t="s">
        <v>2019</v>
      </c>
      <c r="C31" s="23" t="s">
        <v>1214</v>
      </c>
      <c r="D31" s="40" t="s">
        <v>2022</v>
      </c>
      <c r="E31" s="73" t="s">
        <v>2198</v>
      </c>
      <c r="F31" s="73" t="s">
        <v>573</v>
      </c>
      <c r="G31" s="95" t="s">
        <v>2199</v>
      </c>
      <c r="H31" s="94"/>
      <c r="I31" s="158" t="s">
        <v>2018</v>
      </c>
      <c r="J31" s="154" t="s">
        <v>2204</v>
      </c>
      <c r="K31" s="98" t="str">
        <f t="shared" si="3"/>
        <v>Nguyễn Mậu</v>
      </c>
      <c r="L31" s="96" t="str">
        <f t="shared" si="3"/>
        <v>Thường</v>
      </c>
    </row>
    <row r="32" spans="1:12" ht="24" customHeight="1">
      <c r="A32" s="9">
        <f t="shared" si="0"/>
        <v>26</v>
      </c>
      <c r="B32" s="21" t="s">
        <v>1973</v>
      </c>
      <c r="C32" s="23" t="s">
        <v>135</v>
      </c>
      <c r="D32" s="40" t="s">
        <v>1969</v>
      </c>
      <c r="E32" s="73" t="s">
        <v>664</v>
      </c>
      <c r="F32" s="73" t="s">
        <v>541</v>
      </c>
      <c r="G32" s="95" t="s">
        <v>2155</v>
      </c>
      <c r="H32" s="94"/>
      <c r="I32" s="158" t="s">
        <v>1955</v>
      </c>
      <c r="J32" s="154" t="s">
        <v>2204</v>
      </c>
      <c r="K32" s="98" t="str">
        <f t="shared" si="3"/>
        <v>Phạm</v>
      </c>
      <c r="L32" s="96" t="str">
        <f t="shared" si="3"/>
        <v>Tình</v>
      </c>
    </row>
    <row r="33" spans="1:12" ht="24" customHeight="1">
      <c r="A33" s="9">
        <f t="shared" si="0"/>
        <v>27</v>
      </c>
      <c r="B33" s="21" t="s">
        <v>2252</v>
      </c>
      <c r="C33" s="23" t="s">
        <v>135</v>
      </c>
      <c r="D33" s="40" t="s">
        <v>2257</v>
      </c>
      <c r="E33" s="73" t="s">
        <v>725</v>
      </c>
      <c r="F33" s="73" t="s">
        <v>541</v>
      </c>
      <c r="G33" s="95" t="s">
        <v>2505</v>
      </c>
      <c r="H33" s="94"/>
      <c r="I33" s="158" t="s">
        <v>2243</v>
      </c>
      <c r="J33" s="154" t="s">
        <v>2204</v>
      </c>
      <c r="K33" s="98" t="str">
        <f t="shared" si="3"/>
        <v xml:space="preserve">Quách  Đăng </v>
      </c>
      <c r="L33" s="96" t="str">
        <f t="shared" si="3"/>
        <v>Tình</v>
      </c>
    </row>
    <row r="34" spans="1:12" ht="24" customHeight="1">
      <c r="A34" s="9">
        <f t="shared" si="0"/>
        <v>28</v>
      </c>
      <c r="B34" s="21" t="s">
        <v>2061</v>
      </c>
      <c r="C34" s="23" t="s">
        <v>2184</v>
      </c>
      <c r="D34" s="40" t="s">
        <v>2068</v>
      </c>
      <c r="E34" s="73" t="s">
        <v>918</v>
      </c>
      <c r="F34" s="73" t="s">
        <v>541</v>
      </c>
      <c r="G34" s="95" t="s">
        <v>2185</v>
      </c>
      <c r="H34" s="94"/>
      <c r="I34" s="158" t="s">
        <v>2072</v>
      </c>
      <c r="J34" s="154" t="s">
        <v>2529</v>
      </c>
      <c r="K34" s="98" t="str">
        <f t="shared" si="3"/>
        <v>Trần Lê Thanh</v>
      </c>
      <c r="L34" s="96" t="str">
        <f t="shared" si="3"/>
        <v>Tường</v>
      </c>
    </row>
    <row r="35" spans="1:12" ht="24" customHeight="1">
      <c r="A35" s="9">
        <f t="shared" si="0"/>
        <v>29</v>
      </c>
      <c r="B35" s="21" t="s">
        <v>2064</v>
      </c>
      <c r="C35" s="23" t="s">
        <v>111</v>
      </c>
      <c r="D35" s="40" t="s">
        <v>2070</v>
      </c>
      <c r="E35" s="73" t="s">
        <v>614</v>
      </c>
      <c r="F35" s="73" t="s">
        <v>573</v>
      </c>
      <c r="G35" s="95" t="s">
        <v>2193</v>
      </c>
      <c r="H35" s="94"/>
      <c r="I35" s="158" t="s">
        <v>2072</v>
      </c>
      <c r="J35" s="154" t="s">
        <v>2204</v>
      </c>
      <c r="K35" s="98" t="str">
        <f t="shared" si="3"/>
        <v>Phạm Mai Tuấn</v>
      </c>
      <c r="L35" s="96" t="str">
        <f t="shared" si="3"/>
        <v>Vũ</v>
      </c>
    </row>
    <row r="36" spans="1:12" ht="24" customHeight="1">
      <c r="A36" s="9">
        <f t="shared" si="0"/>
        <v>30</v>
      </c>
      <c r="B36" s="21" t="s">
        <v>2368</v>
      </c>
      <c r="C36" s="23" t="s">
        <v>51</v>
      </c>
      <c r="D36" s="41">
        <v>39567</v>
      </c>
      <c r="E36" s="73" t="s">
        <v>2439</v>
      </c>
      <c r="F36" s="73" t="s">
        <v>556</v>
      </c>
      <c r="G36" s="95" t="s">
        <v>2513</v>
      </c>
      <c r="H36" s="94"/>
      <c r="I36" s="158" t="s">
        <v>2359</v>
      </c>
      <c r="J36" s="154" t="s">
        <v>2204</v>
      </c>
      <c r="K36" s="98" t="str">
        <f t="shared" ref="K36:L41" si="4">PROPER(B36)</f>
        <v>Nguyễn Trần Thiên</v>
      </c>
      <c r="L36" s="96" t="str">
        <f t="shared" si="4"/>
        <v>Huynh</v>
      </c>
    </row>
    <row r="37" spans="1:12" ht="24" customHeight="1">
      <c r="A37" s="9">
        <f t="shared" si="0"/>
        <v>31</v>
      </c>
      <c r="B37" s="21" t="s">
        <v>2369</v>
      </c>
      <c r="C37" s="23" t="s">
        <v>74</v>
      </c>
      <c r="D37" s="40" t="s">
        <v>2373</v>
      </c>
      <c r="E37" s="73" t="s">
        <v>2507</v>
      </c>
      <c r="F37" s="73" t="s">
        <v>785</v>
      </c>
      <c r="G37" s="95" t="s">
        <v>2508</v>
      </c>
      <c r="H37" s="94"/>
      <c r="I37" s="158" t="s">
        <v>2359</v>
      </c>
      <c r="J37" s="154" t="s">
        <v>2204</v>
      </c>
      <c r="K37" s="98" t="str">
        <f t="shared" si="4"/>
        <v>Nguyễn Lê Hoàng</v>
      </c>
      <c r="L37" s="96" t="str">
        <f t="shared" si="4"/>
        <v>Nhật</v>
      </c>
    </row>
    <row r="38" spans="1:12" ht="24" customHeight="1">
      <c r="A38" s="9">
        <f t="shared" si="0"/>
        <v>32</v>
      </c>
      <c r="B38" s="21" t="s">
        <v>2370</v>
      </c>
      <c r="C38" s="23" t="s">
        <v>19</v>
      </c>
      <c r="D38" s="40" t="s">
        <v>2374</v>
      </c>
      <c r="E38" s="73" t="s">
        <v>592</v>
      </c>
      <c r="F38" s="73" t="s">
        <v>556</v>
      </c>
      <c r="G38" s="95" t="s">
        <v>2506</v>
      </c>
      <c r="H38" s="94"/>
      <c r="I38" s="158" t="s">
        <v>2359</v>
      </c>
      <c r="J38" s="154" t="s">
        <v>2204</v>
      </c>
      <c r="K38" s="98" t="str">
        <f t="shared" si="4"/>
        <v>Châu Gia</v>
      </c>
      <c r="L38" s="96" t="str">
        <f t="shared" si="4"/>
        <v>Phúc</v>
      </c>
    </row>
    <row r="39" spans="1:12" ht="24" customHeight="1">
      <c r="A39" s="9">
        <f t="shared" si="0"/>
        <v>33</v>
      </c>
      <c r="B39" s="21" t="s">
        <v>2371</v>
      </c>
      <c r="C39" s="23" t="s">
        <v>128</v>
      </c>
      <c r="D39" s="40" t="s">
        <v>2375</v>
      </c>
      <c r="E39" s="73" t="s">
        <v>676</v>
      </c>
      <c r="F39" s="73" t="s">
        <v>541</v>
      </c>
      <c r="G39" s="95" t="s">
        <v>2511</v>
      </c>
      <c r="H39" s="94"/>
      <c r="I39" s="158" t="s">
        <v>2359</v>
      </c>
      <c r="J39" s="154" t="s">
        <v>2204</v>
      </c>
      <c r="K39" s="98" t="str">
        <f t="shared" si="4"/>
        <v>Lê Huỳnh</v>
      </c>
      <c r="L39" s="96" t="str">
        <f t="shared" si="4"/>
        <v>Huy</v>
      </c>
    </row>
    <row r="40" spans="1:12" ht="24" customHeight="1">
      <c r="A40" s="9">
        <f t="shared" si="0"/>
        <v>34</v>
      </c>
      <c r="B40" s="21" t="s">
        <v>2372</v>
      </c>
      <c r="C40" s="23" t="s">
        <v>34</v>
      </c>
      <c r="D40" s="40" t="s">
        <v>1985</v>
      </c>
      <c r="E40" s="73" t="s">
        <v>624</v>
      </c>
      <c r="F40" s="73" t="s">
        <v>549</v>
      </c>
      <c r="G40" s="95" t="s">
        <v>2514</v>
      </c>
      <c r="H40" s="94"/>
      <c r="I40" s="158" t="s">
        <v>2359</v>
      </c>
      <c r="J40" s="154" t="s">
        <v>2204</v>
      </c>
      <c r="K40" s="98" t="str">
        <f t="shared" si="4"/>
        <v>Vũ Đức Anh</v>
      </c>
      <c r="L40" s="96" t="str">
        <f t="shared" si="4"/>
        <v>Kiệt</v>
      </c>
    </row>
    <row r="41" spans="1:12" ht="24" customHeight="1">
      <c r="A41" s="9">
        <f t="shared" si="0"/>
        <v>35</v>
      </c>
      <c r="B41" s="21" t="s">
        <v>2534</v>
      </c>
      <c r="C41" s="23" t="s">
        <v>128</v>
      </c>
      <c r="D41" s="40" t="s">
        <v>2536</v>
      </c>
      <c r="E41" s="73" t="s">
        <v>552</v>
      </c>
      <c r="F41" s="73" t="s">
        <v>553</v>
      </c>
      <c r="G41" s="95" t="s">
        <v>3142</v>
      </c>
      <c r="H41" s="94"/>
      <c r="I41" s="158" t="s">
        <v>2537</v>
      </c>
      <c r="J41" s="154" t="s">
        <v>2204</v>
      </c>
      <c r="K41" s="98" t="str">
        <f t="shared" si="4"/>
        <v>Trương Lâm</v>
      </c>
      <c r="L41" s="96" t="str">
        <f t="shared" si="4"/>
        <v>Huy</v>
      </c>
    </row>
    <row r="42" spans="1:12" ht="24" customHeight="1">
      <c r="A42" s="9">
        <f t="shared" si="0"/>
        <v>36</v>
      </c>
      <c r="B42" s="21" t="s">
        <v>2535</v>
      </c>
      <c r="C42" s="23" t="s">
        <v>15</v>
      </c>
      <c r="D42" s="40" t="s">
        <v>1253</v>
      </c>
      <c r="E42" s="73" t="s">
        <v>2623</v>
      </c>
      <c r="F42" s="73" t="s">
        <v>553</v>
      </c>
      <c r="G42" s="95" t="s">
        <v>2839</v>
      </c>
      <c r="H42" s="94"/>
      <c r="I42" s="158" t="s">
        <v>2537</v>
      </c>
      <c r="J42" s="154" t="s">
        <v>2204</v>
      </c>
      <c r="K42" s="98" t="str">
        <f t="shared" ref="K42:L44" si="5">PROPER(B42)</f>
        <v>Hoàng Bảo Thanh</v>
      </c>
      <c r="L42" s="96" t="str">
        <f t="shared" si="5"/>
        <v>Bình</v>
      </c>
    </row>
    <row r="43" spans="1:12" ht="24" customHeight="1">
      <c r="A43" s="9">
        <f t="shared" si="0"/>
        <v>37</v>
      </c>
      <c r="B43" s="21" t="s">
        <v>742</v>
      </c>
      <c r="C43" s="22" t="s">
        <v>252</v>
      </c>
      <c r="D43" s="12">
        <v>39575</v>
      </c>
      <c r="E43" s="35" t="s">
        <v>732</v>
      </c>
      <c r="F43" s="35" t="s">
        <v>556</v>
      </c>
      <c r="G43" s="17" t="s">
        <v>741</v>
      </c>
      <c r="H43" s="13"/>
      <c r="I43" s="164" t="s">
        <v>2554</v>
      </c>
      <c r="J43" s="154" t="s">
        <v>2204</v>
      </c>
      <c r="K43" s="98" t="e">
        <f>PROPER(#REF!)</f>
        <v>#REF!</v>
      </c>
      <c r="L43" s="96" t="e">
        <f>PROPER(#REF!)</f>
        <v>#REF!</v>
      </c>
    </row>
    <row r="44" spans="1:12" ht="24" customHeight="1">
      <c r="A44" s="9">
        <f t="shared" si="0"/>
        <v>38</v>
      </c>
      <c r="B44" s="21" t="s">
        <v>2381</v>
      </c>
      <c r="C44" s="23" t="s">
        <v>1278</v>
      </c>
      <c r="D44" s="40" t="s">
        <v>2564</v>
      </c>
      <c r="E44" s="73" t="s">
        <v>1490</v>
      </c>
      <c r="F44" s="73" t="s">
        <v>573</v>
      </c>
      <c r="G44" s="95" t="s">
        <v>2834</v>
      </c>
      <c r="H44" s="94"/>
      <c r="I44" s="158"/>
      <c r="J44" s="154" t="s">
        <v>2208</v>
      </c>
      <c r="K44" s="98" t="str">
        <f t="shared" si="5"/>
        <v>Lê Thanh</v>
      </c>
      <c r="L44" s="96" t="str">
        <f t="shared" si="5"/>
        <v>Tuấn</v>
      </c>
    </row>
    <row r="45" spans="1:12" ht="24" customHeight="1">
      <c r="A45" s="9">
        <f t="shared" si="0"/>
        <v>39</v>
      </c>
      <c r="B45" s="21" t="s">
        <v>2561</v>
      </c>
      <c r="C45" s="23" t="s">
        <v>2562</v>
      </c>
      <c r="D45" s="40" t="s">
        <v>1236</v>
      </c>
      <c r="E45" s="73" t="s">
        <v>862</v>
      </c>
      <c r="F45" s="73" t="s">
        <v>573</v>
      </c>
      <c r="G45" s="95" t="s">
        <v>2835</v>
      </c>
      <c r="H45" s="94"/>
      <c r="I45" s="158"/>
      <c r="J45" s="154" t="s">
        <v>2341</v>
      </c>
      <c r="K45" s="98" t="str">
        <f t="shared" ref="K45:L48" si="6">PROPER(B45)</f>
        <v>Trần Ngọc Minh</v>
      </c>
      <c r="L45" s="96" t="str">
        <f t="shared" si="6"/>
        <v>Hoàn</v>
      </c>
    </row>
    <row r="46" spans="1:12" ht="24" customHeight="1">
      <c r="A46" s="9">
        <f t="shared" si="0"/>
        <v>40</v>
      </c>
      <c r="B46" s="21" t="s">
        <v>2563</v>
      </c>
      <c r="C46" s="23" t="s">
        <v>47</v>
      </c>
      <c r="D46" s="40" t="s">
        <v>2565</v>
      </c>
      <c r="E46" s="73" t="s">
        <v>665</v>
      </c>
      <c r="F46" s="73" t="s">
        <v>541</v>
      </c>
      <c r="G46" s="95"/>
      <c r="H46" s="94"/>
      <c r="I46" s="158"/>
      <c r="J46" s="154" t="s">
        <v>2204</v>
      </c>
      <c r="K46" s="98" t="str">
        <f t="shared" si="6"/>
        <v>Trương Lê Hoàng</v>
      </c>
      <c r="L46" s="96" t="str">
        <f t="shared" si="6"/>
        <v>Thịnh</v>
      </c>
    </row>
    <row r="47" spans="1:12" ht="24" customHeight="1">
      <c r="A47" s="9">
        <f t="shared" si="0"/>
        <v>41</v>
      </c>
      <c r="B47" s="21" t="s">
        <v>2652</v>
      </c>
      <c r="C47" s="23" t="s">
        <v>1278</v>
      </c>
      <c r="D47" s="40" t="s">
        <v>1802</v>
      </c>
      <c r="E47" s="73" t="s">
        <v>2201</v>
      </c>
      <c r="F47" s="73" t="s">
        <v>565</v>
      </c>
      <c r="G47" s="95" t="s">
        <v>2833</v>
      </c>
      <c r="H47" s="94"/>
      <c r="I47" s="173" t="s">
        <v>2640</v>
      </c>
      <c r="J47" s="154" t="s">
        <v>2204</v>
      </c>
      <c r="K47" s="98" t="e">
        <f>PROPER(#REF!)</f>
        <v>#REF!</v>
      </c>
      <c r="L47" s="96" t="e">
        <f>PROPER(#REF!)</f>
        <v>#REF!</v>
      </c>
    </row>
    <row r="48" spans="1:12" ht="24" customHeight="1">
      <c r="A48" s="9">
        <f t="shared" si="0"/>
        <v>42</v>
      </c>
      <c r="B48" s="21" t="s">
        <v>2013</v>
      </c>
      <c r="C48" s="23" t="s">
        <v>81</v>
      </c>
      <c r="D48" s="40" t="s">
        <v>2845</v>
      </c>
      <c r="E48" s="73" t="s">
        <v>554</v>
      </c>
      <c r="F48" s="73" t="s">
        <v>544</v>
      </c>
      <c r="G48" s="95" t="s">
        <v>3044</v>
      </c>
      <c r="H48" s="94"/>
      <c r="I48" s="158" t="s">
        <v>2844</v>
      </c>
      <c r="J48" s="154" t="s">
        <v>3043</v>
      </c>
      <c r="K48" s="98" t="str">
        <f t="shared" si="6"/>
        <v>Nguyễn Trường</v>
      </c>
      <c r="L48" s="96" t="str">
        <f t="shared" si="6"/>
        <v>Dũng</v>
      </c>
    </row>
    <row r="49" spans="1:12" ht="24" customHeight="1">
      <c r="A49" s="9">
        <f t="shared" si="0"/>
        <v>43</v>
      </c>
      <c r="B49" s="21" t="s">
        <v>506</v>
      </c>
      <c r="C49" s="23" t="s">
        <v>183</v>
      </c>
      <c r="D49" s="40" t="s">
        <v>2846</v>
      </c>
      <c r="E49" s="73" t="s">
        <v>554</v>
      </c>
      <c r="F49" s="73" t="s">
        <v>544</v>
      </c>
      <c r="G49" s="95" t="s">
        <v>3193</v>
      </c>
      <c r="H49" s="94"/>
      <c r="I49" s="158" t="s">
        <v>2844</v>
      </c>
      <c r="J49" s="154" t="s">
        <v>3046</v>
      </c>
      <c r="K49" s="98" t="str">
        <f>PROPER(B49)</f>
        <v>Nguyễn</v>
      </c>
      <c r="L49" s="96" t="str">
        <f>PROPER(C49)</f>
        <v>Thảo</v>
      </c>
    </row>
    <row r="50" spans="1:12" ht="24" customHeight="1">
      <c r="A50" s="9">
        <f t="shared" si="0"/>
        <v>44</v>
      </c>
      <c r="B50" s="21" t="s">
        <v>1655</v>
      </c>
      <c r="C50" s="23" t="s">
        <v>1112</v>
      </c>
      <c r="D50" s="40" t="s">
        <v>2935</v>
      </c>
      <c r="E50" s="73" t="s">
        <v>3120</v>
      </c>
      <c r="F50" s="73" t="s">
        <v>573</v>
      </c>
      <c r="G50" s="95" t="s">
        <v>3121</v>
      </c>
      <c r="H50" s="94"/>
      <c r="I50" s="158" t="s">
        <v>2841</v>
      </c>
      <c r="J50" s="154" t="s">
        <v>2204</v>
      </c>
      <c r="K50" s="98" t="str">
        <f>PROPER(B50)</f>
        <v>Cao Viết</v>
      </c>
      <c r="L50" s="96" t="str">
        <f>PROPER(C50)</f>
        <v>Dương</v>
      </c>
    </row>
    <row r="51" spans="1:12" ht="24" customHeight="1">
      <c r="A51" s="9">
        <f t="shared" si="0"/>
        <v>45</v>
      </c>
      <c r="B51" s="21" t="s">
        <v>1132</v>
      </c>
      <c r="C51" s="23" t="s">
        <v>2933</v>
      </c>
      <c r="D51" s="40" t="s">
        <v>1446</v>
      </c>
      <c r="E51" s="73" t="s">
        <v>945</v>
      </c>
      <c r="F51" s="73" t="s">
        <v>541</v>
      </c>
      <c r="G51" s="95" t="s">
        <v>3123</v>
      </c>
      <c r="H51" s="94"/>
      <c r="I51" s="158" t="s">
        <v>2841</v>
      </c>
      <c r="J51" s="154" t="s">
        <v>3122</v>
      </c>
      <c r="K51" s="98" t="str">
        <f t="shared" ref="K51:K56" si="7">PROPER(B51)</f>
        <v>Trần Công</v>
      </c>
      <c r="L51" s="96" t="str">
        <f t="shared" ref="L51:L56" si="8">PROPER(C51)</f>
        <v>Đệ</v>
      </c>
    </row>
    <row r="52" spans="1:12" ht="24" customHeight="1">
      <c r="A52" s="9">
        <f t="shared" si="0"/>
        <v>46</v>
      </c>
      <c r="B52" s="21" t="s">
        <v>3192</v>
      </c>
      <c r="C52" s="23" t="s">
        <v>363</v>
      </c>
      <c r="D52" s="40" t="s">
        <v>2936</v>
      </c>
      <c r="E52" s="73" t="s">
        <v>885</v>
      </c>
      <c r="F52" s="73" t="s">
        <v>541</v>
      </c>
      <c r="G52" s="95" t="s">
        <v>3191</v>
      </c>
      <c r="H52" s="94"/>
      <c r="I52" s="158" t="s">
        <v>2841</v>
      </c>
      <c r="J52" s="154" t="s">
        <v>2204</v>
      </c>
      <c r="K52" s="98" t="str">
        <f t="shared" si="7"/>
        <v xml:space="preserve">Tăng Thượng </v>
      </c>
      <c r="L52" s="96" t="str">
        <f t="shared" si="8"/>
        <v>Quỳnh</v>
      </c>
    </row>
    <row r="53" spans="1:12" ht="24" customHeight="1">
      <c r="A53" s="9">
        <f t="shared" si="0"/>
        <v>47</v>
      </c>
      <c r="B53" s="21" t="s">
        <v>1864</v>
      </c>
      <c r="C53" s="23" t="s">
        <v>145</v>
      </c>
      <c r="D53" s="40" t="s">
        <v>2133</v>
      </c>
      <c r="E53" s="73" t="s">
        <v>862</v>
      </c>
      <c r="F53" s="73" t="s">
        <v>573</v>
      </c>
      <c r="G53" s="95" t="s">
        <v>3126</v>
      </c>
      <c r="H53" s="94"/>
      <c r="I53" s="158" t="s">
        <v>2841</v>
      </c>
      <c r="J53" s="154" t="s">
        <v>2204</v>
      </c>
      <c r="K53" s="98" t="str">
        <f t="shared" si="7"/>
        <v>Trần Đình</v>
      </c>
      <c r="L53" s="96" t="str">
        <f t="shared" si="8"/>
        <v>Khánh</v>
      </c>
    </row>
    <row r="54" spans="1:12" ht="24" customHeight="1">
      <c r="A54" s="9">
        <f t="shared" si="0"/>
        <v>48</v>
      </c>
      <c r="B54" s="21" t="s">
        <v>2934</v>
      </c>
      <c r="C54" s="23" t="s">
        <v>106</v>
      </c>
      <c r="D54" s="40" t="s">
        <v>2937</v>
      </c>
      <c r="E54" s="73" t="s">
        <v>862</v>
      </c>
      <c r="F54" s="73" t="s">
        <v>573</v>
      </c>
      <c r="G54" s="95" t="s">
        <v>3190</v>
      </c>
      <c r="H54" s="94"/>
      <c r="I54" s="158" t="s">
        <v>2841</v>
      </c>
      <c r="J54" s="245" t="s">
        <v>2847</v>
      </c>
      <c r="K54" s="98" t="str">
        <f t="shared" si="7"/>
        <v>Phạm Xuân</v>
      </c>
      <c r="L54" s="96" t="str">
        <f t="shared" si="8"/>
        <v>Trọng</v>
      </c>
    </row>
    <row r="55" spans="1:12" ht="24" customHeight="1">
      <c r="A55" s="9">
        <f t="shared" si="0"/>
        <v>49</v>
      </c>
      <c r="B55" s="21" t="s">
        <v>3540</v>
      </c>
      <c r="C55" s="23" t="s">
        <v>3541</v>
      </c>
      <c r="D55" s="41">
        <v>38163</v>
      </c>
      <c r="E55" s="73" t="s">
        <v>711</v>
      </c>
      <c r="F55" s="73" t="s">
        <v>541</v>
      </c>
      <c r="G55" s="95" t="s">
        <v>3546</v>
      </c>
      <c r="H55" s="94"/>
      <c r="I55" s="158" t="s">
        <v>3542</v>
      </c>
      <c r="J55" s="154" t="s">
        <v>2204</v>
      </c>
      <c r="K55" s="98" t="str">
        <f t="shared" si="7"/>
        <v>Hoàng Văn</v>
      </c>
      <c r="L55" s="96" t="str">
        <f t="shared" si="8"/>
        <v>Đình</v>
      </c>
    </row>
    <row r="56" spans="1:12" ht="24" customHeight="1">
      <c r="A56" s="9"/>
      <c r="B56" s="21"/>
      <c r="C56" s="23"/>
      <c r="D56" s="40"/>
      <c r="E56" s="73"/>
      <c r="F56" s="73"/>
      <c r="G56" s="95"/>
      <c r="H56" s="94"/>
      <c r="I56" s="158"/>
      <c r="J56" s="154"/>
      <c r="K56" s="98" t="str">
        <f t="shared" si="7"/>
        <v/>
      </c>
      <c r="L56" s="96" t="str">
        <f t="shared" si="8"/>
        <v/>
      </c>
    </row>
  </sheetData>
  <sortState ref="B7:J37">
    <sortCondition ref="C7:C37"/>
  </sortState>
  <mergeCells count="8">
    <mergeCell ref="B6:C6"/>
    <mergeCell ref="E6:F6"/>
    <mergeCell ref="A1:D1"/>
    <mergeCell ref="E1:H1"/>
    <mergeCell ref="A2:D2"/>
    <mergeCell ref="E2:H2"/>
    <mergeCell ref="A4:H4"/>
    <mergeCell ref="A5:H5"/>
  </mergeCells>
  <pageMargins left="0.2" right="0.2" top="0.42" bottom="0.33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opLeftCell="A50" workbookViewId="0">
      <selection activeCell="B45" sqref="B45"/>
    </sheetView>
  </sheetViews>
  <sheetFormatPr defaultRowHeight="15"/>
  <cols>
    <col min="1" max="1" width="5.28515625" style="1" customWidth="1"/>
    <col min="2" max="2" width="23.28515625" style="1" customWidth="1"/>
    <col min="3" max="3" width="8" style="1" customWidth="1"/>
    <col min="4" max="4" width="10.28515625" style="1" customWidth="1"/>
    <col min="5" max="5" width="17.42578125" style="42" customWidth="1"/>
    <col min="6" max="6" width="14.7109375" style="42" customWidth="1"/>
    <col min="7" max="7" width="13.5703125" style="1" customWidth="1"/>
    <col min="8" max="8" width="23" style="1" customWidth="1"/>
    <col min="9" max="9" width="28.28515625" style="137" customWidth="1"/>
    <col min="10" max="16384" width="9.140625" style="1"/>
  </cols>
  <sheetData>
    <row r="1" spans="1:10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</row>
    <row r="2" spans="1:10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</row>
    <row r="3" spans="1:10" ht="15.75" customHeight="1">
      <c r="A3" s="2"/>
      <c r="B3" s="3"/>
      <c r="C3" s="3"/>
      <c r="D3" s="3"/>
    </row>
    <row r="4" spans="1:10" ht="15.75" customHeight="1">
      <c r="A4" s="308" t="s">
        <v>10</v>
      </c>
      <c r="B4" s="308"/>
      <c r="C4" s="308"/>
      <c r="D4" s="308"/>
      <c r="E4" s="308"/>
      <c r="F4" s="308"/>
      <c r="G4" s="308"/>
      <c r="H4" s="308"/>
    </row>
    <row r="5" spans="1:10" s="4" customFormat="1" ht="23.25" customHeight="1">
      <c r="A5" s="309" t="s">
        <v>1299</v>
      </c>
      <c r="B5" s="309"/>
      <c r="C5" s="309"/>
      <c r="D5" s="309"/>
      <c r="E5" s="309"/>
      <c r="F5" s="309"/>
      <c r="G5" s="309"/>
      <c r="H5" s="309"/>
      <c r="I5" s="138"/>
    </row>
    <row r="6" spans="1:10" s="8" customFormat="1" ht="45.75" customHeight="1">
      <c r="A6" s="7" t="s">
        <v>4</v>
      </c>
      <c r="B6" s="310" t="s">
        <v>5</v>
      </c>
      <c r="C6" s="311"/>
      <c r="D6" s="20" t="s">
        <v>6</v>
      </c>
      <c r="E6" s="304" t="s">
        <v>11</v>
      </c>
      <c r="F6" s="305"/>
      <c r="G6" s="20" t="s">
        <v>226</v>
      </c>
      <c r="H6" s="7" t="s">
        <v>7</v>
      </c>
      <c r="I6" s="139" t="s">
        <v>2217</v>
      </c>
    </row>
    <row r="7" spans="1:10" s="8" customFormat="1" ht="21.75" customHeight="1">
      <c r="A7" s="9">
        <f>ROW()-6</f>
        <v>1</v>
      </c>
      <c r="B7" s="84" t="s">
        <v>1656</v>
      </c>
      <c r="C7" s="85" t="s">
        <v>70</v>
      </c>
      <c r="D7" s="86" t="s">
        <v>1562</v>
      </c>
      <c r="E7" s="87" t="s">
        <v>1290</v>
      </c>
      <c r="F7" s="87" t="s">
        <v>541</v>
      </c>
      <c r="G7" s="91" t="s">
        <v>2459</v>
      </c>
      <c r="H7" s="25" t="s">
        <v>2527</v>
      </c>
      <c r="I7" s="51" t="s">
        <v>2204</v>
      </c>
      <c r="J7" s="163"/>
    </row>
    <row r="8" spans="1:10" s="8" customFormat="1" ht="21.75" customHeight="1">
      <c r="A8" s="9">
        <f t="shared" ref="A8:A55" si="0">ROW()-6</f>
        <v>2</v>
      </c>
      <c r="B8" s="84" t="s">
        <v>209</v>
      </c>
      <c r="C8" s="85" t="s">
        <v>55</v>
      </c>
      <c r="D8" s="86">
        <v>39626</v>
      </c>
      <c r="E8" s="87" t="s">
        <v>787</v>
      </c>
      <c r="F8" s="87" t="s">
        <v>541</v>
      </c>
      <c r="G8" s="88" t="s">
        <v>820</v>
      </c>
      <c r="H8" s="89"/>
      <c r="I8" s="51" t="s">
        <v>2207</v>
      </c>
    </row>
    <row r="9" spans="1:10" s="8" customFormat="1" ht="21.75" customHeight="1">
      <c r="A9" s="9">
        <f t="shared" si="0"/>
        <v>3</v>
      </c>
      <c r="B9" s="142" t="s">
        <v>1443</v>
      </c>
      <c r="C9" s="143" t="s">
        <v>55</v>
      </c>
      <c r="D9" s="144" t="s">
        <v>1446</v>
      </c>
      <c r="E9" s="145" t="s">
        <v>629</v>
      </c>
      <c r="F9" s="145" t="s">
        <v>541</v>
      </c>
      <c r="G9" s="146" t="s">
        <v>2352</v>
      </c>
      <c r="H9" s="141" t="s">
        <v>3309</v>
      </c>
      <c r="I9" s="51" t="s">
        <v>2353</v>
      </c>
    </row>
    <row r="10" spans="1:10" s="8" customFormat="1" ht="21.75" customHeight="1">
      <c r="A10" s="9">
        <f t="shared" si="0"/>
        <v>4</v>
      </c>
      <c r="B10" s="84" t="s">
        <v>198</v>
      </c>
      <c r="C10" s="85" t="s">
        <v>81</v>
      </c>
      <c r="D10" s="86">
        <v>39452</v>
      </c>
      <c r="E10" s="87" t="s">
        <v>787</v>
      </c>
      <c r="F10" s="87" t="s">
        <v>541</v>
      </c>
      <c r="G10" s="88" t="s">
        <v>846</v>
      </c>
      <c r="H10" s="89"/>
      <c r="I10" s="51" t="s">
        <v>2207</v>
      </c>
    </row>
    <row r="11" spans="1:10" s="8" customFormat="1" ht="21.75" customHeight="1">
      <c r="A11" s="9">
        <f t="shared" si="0"/>
        <v>5</v>
      </c>
      <c r="B11" s="21" t="s">
        <v>1075</v>
      </c>
      <c r="C11" s="22" t="s">
        <v>81</v>
      </c>
      <c r="D11" s="12" t="s">
        <v>1935</v>
      </c>
      <c r="E11" s="35" t="s">
        <v>815</v>
      </c>
      <c r="F11" s="35" t="s">
        <v>573</v>
      </c>
      <c r="G11" s="30" t="s">
        <v>2478</v>
      </c>
      <c r="H11" s="118" t="s">
        <v>2528</v>
      </c>
      <c r="I11" s="51" t="s">
        <v>2204</v>
      </c>
      <c r="J11" s="159"/>
    </row>
    <row r="12" spans="1:10" s="8" customFormat="1" ht="21.75" customHeight="1">
      <c r="A12" s="9">
        <f t="shared" si="0"/>
        <v>6</v>
      </c>
      <c r="B12" s="84" t="s">
        <v>1399</v>
      </c>
      <c r="C12" s="85" t="s">
        <v>27</v>
      </c>
      <c r="D12" s="86" t="s">
        <v>1395</v>
      </c>
      <c r="E12" s="87" t="s">
        <v>1158</v>
      </c>
      <c r="F12" s="87" t="s">
        <v>541</v>
      </c>
      <c r="G12" s="91" t="s">
        <v>2351</v>
      </c>
      <c r="H12" s="89"/>
      <c r="I12" s="51" t="s">
        <v>2204</v>
      </c>
    </row>
    <row r="13" spans="1:10" s="8" customFormat="1" ht="21.75" customHeight="1">
      <c r="A13" s="9">
        <f t="shared" si="0"/>
        <v>7</v>
      </c>
      <c r="B13" s="84" t="s">
        <v>1655</v>
      </c>
      <c r="C13" s="85" t="s">
        <v>232</v>
      </c>
      <c r="D13" s="86" t="s">
        <v>1397</v>
      </c>
      <c r="E13" s="87" t="s">
        <v>815</v>
      </c>
      <c r="F13" s="87" t="s">
        <v>573</v>
      </c>
      <c r="G13" s="91" t="s">
        <v>2355</v>
      </c>
      <c r="H13" s="89"/>
      <c r="I13" s="51" t="s">
        <v>2204</v>
      </c>
    </row>
    <row r="14" spans="1:10" s="8" customFormat="1" ht="21.75" customHeight="1">
      <c r="A14" s="9">
        <f t="shared" si="0"/>
        <v>8</v>
      </c>
      <c r="B14" s="84" t="s">
        <v>1400</v>
      </c>
      <c r="C14" s="85" t="s">
        <v>137</v>
      </c>
      <c r="D14" s="86" t="s">
        <v>1396</v>
      </c>
      <c r="E14" s="87" t="s">
        <v>2101</v>
      </c>
      <c r="F14" s="87" t="s">
        <v>544</v>
      </c>
      <c r="G14" s="91" t="s">
        <v>2100</v>
      </c>
      <c r="H14" s="89"/>
      <c r="I14" s="51" t="s">
        <v>2204</v>
      </c>
    </row>
    <row r="15" spans="1:10" s="8" customFormat="1" ht="21.75" customHeight="1">
      <c r="A15" s="9">
        <f t="shared" si="0"/>
        <v>9</v>
      </c>
      <c r="B15" s="84" t="s">
        <v>212</v>
      </c>
      <c r="C15" s="85" t="s">
        <v>213</v>
      </c>
      <c r="D15" s="86">
        <v>39479</v>
      </c>
      <c r="E15" s="87" t="s">
        <v>823</v>
      </c>
      <c r="F15" s="87" t="s">
        <v>553</v>
      </c>
      <c r="G15" s="88" t="s">
        <v>845</v>
      </c>
      <c r="H15" s="89"/>
      <c r="I15" s="140" t="s">
        <v>2204</v>
      </c>
    </row>
    <row r="16" spans="1:10" s="8" customFormat="1" ht="21.75" customHeight="1">
      <c r="A16" s="9">
        <f t="shared" si="0"/>
        <v>10</v>
      </c>
      <c r="B16" s="84" t="s">
        <v>2811</v>
      </c>
      <c r="C16" s="85" t="s">
        <v>205</v>
      </c>
      <c r="D16" s="86">
        <v>37261</v>
      </c>
      <c r="E16" s="87" t="s">
        <v>826</v>
      </c>
      <c r="F16" s="87" t="s">
        <v>544</v>
      </c>
      <c r="G16" s="88" t="s">
        <v>993</v>
      </c>
      <c r="H16" s="89"/>
      <c r="I16" s="51" t="s">
        <v>2204</v>
      </c>
    </row>
    <row r="17" spans="1:9" s="8" customFormat="1" ht="21.75" customHeight="1">
      <c r="A17" s="9">
        <f t="shared" si="0"/>
        <v>11</v>
      </c>
      <c r="B17" s="84" t="s">
        <v>147</v>
      </c>
      <c r="C17" s="85" t="s">
        <v>17</v>
      </c>
      <c r="D17" s="86">
        <v>39705</v>
      </c>
      <c r="E17" s="87" t="s">
        <v>614</v>
      </c>
      <c r="F17" s="87" t="s">
        <v>573</v>
      </c>
      <c r="G17" s="88" t="s">
        <v>844</v>
      </c>
      <c r="H17" s="89"/>
      <c r="I17" s="51" t="s">
        <v>2204</v>
      </c>
    </row>
    <row r="18" spans="1:9" s="8" customFormat="1" ht="21.75" customHeight="1">
      <c r="A18" s="9">
        <f t="shared" si="0"/>
        <v>12</v>
      </c>
      <c r="B18" s="84" t="s">
        <v>1077</v>
      </c>
      <c r="C18" s="85" t="s">
        <v>17</v>
      </c>
      <c r="D18" s="86">
        <v>39734</v>
      </c>
      <c r="E18" s="87" t="s">
        <v>540</v>
      </c>
      <c r="F18" s="87" t="s">
        <v>541</v>
      </c>
      <c r="G18" s="91" t="s">
        <v>542</v>
      </c>
      <c r="H18" s="89" t="s">
        <v>1787</v>
      </c>
      <c r="I18" s="51" t="s">
        <v>2204</v>
      </c>
    </row>
    <row r="19" spans="1:9" s="8" customFormat="1" ht="21.75" customHeight="1">
      <c r="A19" s="9">
        <f t="shared" si="0"/>
        <v>13</v>
      </c>
      <c r="B19" s="84" t="s">
        <v>217</v>
      </c>
      <c r="C19" s="85" t="s">
        <v>128</v>
      </c>
      <c r="D19" s="86">
        <v>39762</v>
      </c>
      <c r="E19" s="87" t="s">
        <v>630</v>
      </c>
      <c r="F19" s="87" t="s">
        <v>541</v>
      </c>
      <c r="G19" s="88" t="s">
        <v>843</v>
      </c>
      <c r="H19" s="89"/>
      <c r="I19" s="51" t="s">
        <v>2204</v>
      </c>
    </row>
    <row r="20" spans="1:9" s="8" customFormat="1" ht="21.75" customHeight="1">
      <c r="A20" s="9">
        <f t="shared" si="0"/>
        <v>14</v>
      </c>
      <c r="B20" s="84" t="s">
        <v>222</v>
      </c>
      <c r="C20" s="85" t="s">
        <v>128</v>
      </c>
      <c r="D20" s="86">
        <v>39640</v>
      </c>
      <c r="E20" s="87" t="s">
        <v>824</v>
      </c>
      <c r="F20" s="87" t="s">
        <v>556</v>
      </c>
      <c r="G20" s="88" t="s">
        <v>842</v>
      </c>
      <c r="H20" s="89"/>
      <c r="I20" s="51" t="s">
        <v>2204</v>
      </c>
    </row>
    <row r="21" spans="1:9" s="8" customFormat="1" ht="21.75" customHeight="1">
      <c r="A21" s="9">
        <f t="shared" si="0"/>
        <v>15</v>
      </c>
      <c r="B21" s="84" t="s">
        <v>217</v>
      </c>
      <c r="C21" s="85" t="s">
        <v>145</v>
      </c>
      <c r="D21" s="86">
        <v>39603</v>
      </c>
      <c r="E21" s="87" t="s">
        <v>787</v>
      </c>
      <c r="F21" s="87" t="s">
        <v>541</v>
      </c>
      <c r="G21" s="88" t="s">
        <v>841</v>
      </c>
      <c r="H21" s="89"/>
      <c r="I21" s="51" t="s">
        <v>2204</v>
      </c>
    </row>
    <row r="22" spans="1:9" s="8" customFormat="1" ht="21.75" customHeight="1">
      <c r="A22" s="9">
        <f t="shared" si="0"/>
        <v>16</v>
      </c>
      <c r="B22" s="84" t="s">
        <v>1785</v>
      </c>
      <c r="C22" s="85" t="s">
        <v>60</v>
      </c>
      <c r="D22" s="86" t="s">
        <v>1123</v>
      </c>
      <c r="E22" s="87" t="s">
        <v>2344</v>
      </c>
      <c r="F22" s="87" t="s">
        <v>556</v>
      </c>
      <c r="G22" s="91" t="s">
        <v>1788</v>
      </c>
      <c r="H22" s="89" t="s">
        <v>1789</v>
      </c>
      <c r="I22" s="51" t="s">
        <v>2215</v>
      </c>
    </row>
    <row r="23" spans="1:9" s="8" customFormat="1" ht="21.75" customHeight="1">
      <c r="A23" s="9">
        <f t="shared" si="0"/>
        <v>17</v>
      </c>
      <c r="B23" s="84" t="s">
        <v>207</v>
      </c>
      <c r="C23" s="85" t="s">
        <v>208</v>
      </c>
      <c r="D23" s="86">
        <v>39746</v>
      </c>
      <c r="E23" s="87" t="s">
        <v>1012</v>
      </c>
      <c r="F23" s="87" t="s">
        <v>544</v>
      </c>
      <c r="G23" s="88" t="s">
        <v>953</v>
      </c>
      <c r="H23" s="89"/>
      <c r="I23" s="51" t="s">
        <v>2204</v>
      </c>
    </row>
    <row r="24" spans="1:9" s="8" customFormat="1" ht="21.75" customHeight="1">
      <c r="A24" s="9">
        <f t="shared" si="0"/>
        <v>18</v>
      </c>
      <c r="B24" s="84" t="s">
        <v>225</v>
      </c>
      <c r="C24" s="85" t="s">
        <v>100</v>
      </c>
      <c r="D24" s="86">
        <v>39807</v>
      </c>
      <c r="E24" s="87" t="s">
        <v>637</v>
      </c>
      <c r="F24" s="87" t="s">
        <v>541</v>
      </c>
      <c r="G24" s="88" t="s">
        <v>836</v>
      </c>
      <c r="H24" s="89"/>
      <c r="I24" s="51" t="s">
        <v>2204</v>
      </c>
    </row>
    <row r="25" spans="1:9" s="8" customFormat="1" ht="21.75" customHeight="1">
      <c r="A25" s="9">
        <f t="shared" si="0"/>
        <v>19</v>
      </c>
      <c r="B25" s="84" t="s">
        <v>197</v>
      </c>
      <c r="C25" s="85" t="s">
        <v>9</v>
      </c>
      <c r="D25" s="86">
        <v>39715</v>
      </c>
      <c r="E25" s="87" t="s">
        <v>815</v>
      </c>
      <c r="F25" s="87" t="s">
        <v>573</v>
      </c>
      <c r="G25" s="88" t="s">
        <v>835</v>
      </c>
      <c r="H25" s="89"/>
      <c r="I25" s="51" t="s">
        <v>2231</v>
      </c>
    </row>
    <row r="26" spans="1:9" s="8" customFormat="1" ht="21.75" customHeight="1">
      <c r="A26" s="9">
        <f t="shared" si="0"/>
        <v>20</v>
      </c>
      <c r="B26" s="84" t="s">
        <v>1313</v>
      </c>
      <c r="C26" s="85" t="s">
        <v>9</v>
      </c>
      <c r="D26" s="86" t="s">
        <v>1318</v>
      </c>
      <c r="E26" s="87" t="s">
        <v>599</v>
      </c>
      <c r="F26" s="87" t="s">
        <v>541</v>
      </c>
      <c r="G26" s="91" t="s">
        <v>2350</v>
      </c>
      <c r="H26" s="89"/>
      <c r="I26" s="51" t="s">
        <v>2204</v>
      </c>
    </row>
    <row r="27" spans="1:9" s="8" customFormat="1" ht="21.75" customHeight="1">
      <c r="A27" s="9">
        <f t="shared" si="0"/>
        <v>21</v>
      </c>
      <c r="B27" s="84" t="s">
        <v>1209</v>
      </c>
      <c r="C27" s="85" t="s">
        <v>72</v>
      </c>
      <c r="D27" s="86" t="s">
        <v>1199</v>
      </c>
      <c r="E27" s="87" t="s">
        <v>1290</v>
      </c>
      <c r="F27" s="87" t="s">
        <v>541</v>
      </c>
      <c r="G27" s="91" t="s">
        <v>2340</v>
      </c>
      <c r="H27" s="89"/>
      <c r="I27" s="51" t="s">
        <v>2204</v>
      </c>
    </row>
    <row r="28" spans="1:9" s="8" customFormat="1" ht="21.75" customHeight="1">
      <c r="A28" s="9">
        <f t="shared" si="0"/>
        <v>22</v>
      </c>
      <c r="B28" s="84" t="s">
        <v>221</v>
      </c>
      <c r="C28" s="85" t="s">
        <v>216</v>
      </c>
      <c r="D28" s="86">
        <v>39270</v>
      </c>
      <c r="E28" s="87" t="s">
        <v>824</v>
      </c>
      <c r="F28" s="87" t="s">
        <v>556</v>
      </c>
      <c r="G28" s="88" t="s">
        <v>1063</v>
      </c>
      <c r="H28" s="89"/>
      <c r="I28" s="51" t="s">
        <v>2204</v>
      </c>
    </row>
    <row r="29" spans="1:9" s="8" customFormat="1" ht="21.75" customHeight="1">
      <c r="A29" s="9">
        <f t="shared" si="0"/>
        <v>23</v>
      </c>
      <c r="B29" s="84" t="s">
        <v>530</v>
      </c>
      <c r="C29" s="85" t="s">
        <v>19</v>
      </c>
      <c r="D29" s="86">
        <v>38595</v>
      </c>
      <c r="E29" s="87" t="s">
        <v>2201</v>
      </c>
      <c r="F29" s="87" t="s">
        <v>565</v>
      </c>
      <c r="G29" s="88" t="s">
        <v>2347</v>
      </c>
      <c r="H29" s="88"/>
      <c r="I29" s="51" t="s">
        <v>2204</v>
      </c>
    </row>
    <row r="30" spans="1:9" s="8" customFormat="1" ht="21.75" customHeight="1">
      <c r="A30" s="9">
        <f t="shared" si="0"/>
        <v>24</v>
      </c>
      <c r="B30" s="84" t="s">
        <v>1308</v>
      </c>
      <c r="C30" s="85" t="s">
        <v>19</v>
      </c>
      <c r="D30" s="86" t="s">
        <v>1314</v>
      </c>
      <c r="E30" s="87" t="s">
        <v>1505</v>
      </c>
      <c r="F30" s="87" t="s">
        <v>573</v>
      </c>
      <c r="G30" s="91" t="s">
        <v>2348</v>
      </c>
      <c r="H30" s="89"/>
      <c r="I30" s="51" t="s">
        <v>2204</v>
      </c>
    </row>
    <row r="31" spans="1:9" s="8" customFormat="1" ht="21.75" customHeight="1">
      <c r="A31" s="9">
        <f t="shared" si="0"/>
        <v>25</v>
      </c>
      <c r="B31" s="84" t="s">
        <v>200</v>
      </c>
      <c r="C31" s="85" t="s">
        <v>201</v>
      </c>
      <c r="D31" s="86">
        <v>39714</v>
      </c>
      <c r="E31" s="87" t="s">
        <v>827</v>
      </c>
      <c r="F31" s="87" t="s">
        <v>544</v>
      </c>
      <c r="G31" s="88" t="s">
        <v>830</v>
      </c>
      <c r="H31" s="89"/>
      <c r="I31" s="51" t="s">
        <v>2204</v>
      </c>
    </row>
    <row r="32" spans="1:9" s="8" customFormat="1" ht="21.75" customHeight="1">
      <c r="A32" s="9">
        <f t="shared" si="0"/>
        <v>26</v>
      </c>
      <c r="B32" s="84" t="s">
        <v>531</v>
      </c>
      <c r="C32" s="85" t="s">
        <v>201</v>
      </c>
      <c r="D32" s="86">
        <v>39544</v>
      </c>
      <c r="E32" s="87" t="s">
        <v>800</v>
      </c>
      <c r="F32" s="87" t="s">
        <v>541</v>
      </c>
      <c r="G32" s="88" t="s">
        <v>2345</v>
      </c>
      <c r="H32" s="88"/>
      <c r="I32" s="51" t="s">
        <v>2204</v>
      </c>
    </row>
    <row r="33" spans="1:12" s="8" customFormat="1" ht="21.75" customHeight="1">
      <c r="A33" s="9">
        <f t="shared" si="0"/>
        <v>27</v>
      </c>
      <c r="B33" s="84" t="s">
        <v>1127</v>
      </c>
      <c r="C33" s="85" t="s">
        <v>418</v>
      </c>
      <c r="D33" s="86" t="s">
        <v>1095</v>
      </c>
      <c r="E33" s="87" t="s">
        <v>2342</v>
      </c>
      <c r="F33" s="87" t="s">
        <v>573</v>
      </c>
      <c r="G33" s="91" t="s">
        <v>2343</v>
      </c>
      <c r="H33" s="89"/>
      <c r="I33" s="51" t="s">
        <v>2204</v>
      </c>
    </row>
    <row r="34" spans="1:12" s="8" customFormat="1" ht="21.75" customHeight="1">
      <c r="A34" s="9">
        <f t="shared" si="0"/>
        <v>28</v>
      </c>
      <c r="B34" s="84" t="s">
        <v>1133</v>
      </c>
      <c r="C34" s="85" t="s">
        <v>1210</v>
      </c>
      <c r="D34" s="86" t="s">
        <v>1200</v>
      </c>
      <c r="E34" s="87" t="s">
        <v>1290</v>
      </c>
      <c r="F34" s="87" t="s">
        <v>541</v>
      </c>
      <c r="G34" s="91" t="s">
        <v>2338</v>
      </c>
      <c r="H34" s="89"/>
      <c r="I34" s="51" t="s">
        <v>2204</v>
      </c>
    </row>
    <row r="35" spans="1:12" s="8" customFormat="1" ht="21.75" customHeight="1">
      <c r="A35" s="9">
        <f t="shared" si="0"/>
        <v>29</v>
      </c>
      <c r="B35" s="84" t="s">
        <v>196</v>
      </c>
      <c r="C35" s="85" t="s">
        <v>118</v>
      </c>
      <c r="D35" s="86">
        <v>39485</v>
      </c>
      <c r="E35" s="87" t="s">
        <v>621</v>
      </c>
      <c r="F35" s="87" t="s">
        <v>544</v>
      </c>
      <c r="G35" s="88" t="s">
        <v>2333</v>
      </c>
      <c r="H35" s="89"/>
      <c r="I35" s="51" t="s">
        <v>2204</v>
      </c>
    </row>
    <row r="36" spans="1:12" s="8" customFormat="1" ht="21.75" customHeight="1">
      <c r="A36" s="9">
        <f t="shared" si="0"/>
        <v>30</v>
      </c>
      <c r="B36" s="84" t="s">
        <v>1310</v>
      </c>
      <c r="C36" s="85" t="s">
        <v>118</v>
      </c>
      <c r="D36" s="86" t="s">
        <v>1316</v>
      </c>
      <c r="E36" s="87" t="s">
        <v>679</v>
      </c>
      <c r="F36" s="87" t="s">
        <v>544</v>
      </c>
      <c r="G36" s="91" t="s">
        <v>2349</v>
      </c>
      <c r="H36" s="89"/>
      <c r="I36" s="51" t="s">
        <v>2204</v>
      </c>
    </row>
    <row r="37" spans="1:12" s="8" customFormat="1" ht="21.75" customHeight="1">
      <c r="A37" s="9">
        <f t="shared" si="0"/>
        <v>31</v>
      </c>
      <c r="B37" s="84" t="s">
        <v>1124</v>
      </c>
      <c r="C37" s="85" t="s">
        <v>62</v>
      </c>
      <c r="D37" s="86" t="s">
        <v>1092</v>
      </c>
      <c r="E37" s="87" t="s">
        <v>2157</v>
      </c>
      <c r="F37" s="87" t="s">
        <v>556</v>
      </c>
      <c r="G37" s="91" t="s">
        <v>2346</v>
      </c>
      <c r="H37" s="89"/>
      <c r="I37" s="51" t="s">
        <v>2204</v>
      </c>
    </row>
    <row r="38" spans="1:12" s="8" customFormat="1" ht="21.75" customHeight="1">
      <c r="A38" s="9">
        <f t="shared" si="0"/>
        <v>32</v>
      </c>
      <c r="B38" s="21" t="s">
        <v>2013</v>
      </c>
      <c r="C38" s="22" t="s">
        <v>2014</v>
      </c>
      <c r="D38" s="12" t="s">
        <v>1958</v>
      </c>
      <c r="E38" s="35" t="s">
        <v>605</v>
      </c>
      <c r="F38" s="35" t="s">
        <v>541</v>
      </c>
      <c r="G38" s="30" t="s">
        <v>2460</v>
      </c>
      <c r="H38" s="118" t="s">
        <v>1955</v>
      </c>
      <c r="I38" s="51" t="s">
        <v>2204</v>
      </c>
      <c r="J38" s="159"/>
    </row>
    <row r="39" spans="1:12" s="8" customFormat="1" ht="21.75" customHeight="1">
      <c r="A39" s="9">
        <f t="shared" si="0"/>
        <v>33</v>
      </c>
      <c r="B39" s="84" t="s">
        <v>1213</v>
      </c>
      <c r="C39" s="85" t="s">
        <v>1214</v>
      </c>
      <c r="D39" s="86" t="s">
        <v>1204</v>
      </c>
      <c r="E39" s="87" t="s">
        <v>1505</v>
      </c>
      <c r="F39" s="87" t="s">
        <v>573</v>
      </c>
      <c r="G39" s="91" t="s">
        <v>2335</v>
      </c>
      <c r="H39" s="89"/>
      <c r="I39" s="51" t="s">
        <v>2204</v>
      </c>
    </row>
    <row r="40" spans="1:12" s="8" customFormat="1" ht="21.75" customHeight="1">
      <c r="A40" s="9">
        <f t="shared" si="0"/>
        <v>34</v>
      </c>
      <c r="B40" s="84" t="s">
        <v>223</v>
      </c>
      <c r="C40" s="85" t="s">
        <v>224</v>
      </c>
      <c r="D40" s="86">
        <v>39730</v>
      </c>
      <c r="E40" s="87" t="s">
        <v>697</v>
      </c>
      <c r="F40" s="87" t="s">
        <v>556</v>
      </c>
      <c r="G40" s="88" t="s">
        <v>855</v>
      </c>
      <c r="H40" s="89"/>
      <c r="I40" s="51" t="s">
        <v>2204</v>
      </c>
    </row>
    <row r="41" spans="1:12" s="8" customFormat="1" ht="21.75" customHeight="1">
      <c r="A41" s="9">
        <f t="shared" si="0"/>
        <v>35</v>
      </c>
      <c r="B41" s="84" t="s">
        <v>1307</v>
      </c>
      <c r="C41" s="85" t="s">
        <v>45</v>
      </c>
      <c r="D41" s="86">
        <v>39667</v>
      </c>
      <c r="E41" s="87" t="s">
        <v>582</v>
      </c>
      <c r="F41" s="87" t="s">
        <v>541</v>
      </c>
      <c r="G41" s="91" t="s">
        <v>2354</v>
      </c>
      <c r="H41" s="89"/>
      <c r="I41" s="51" t="s">
        <v>2204</v>
      </c>
      <c r="L41" s="8" t="s">
        <v>2334</v>
      </c>
    </row>
    <row r="42" spans="1:12" s="8" customFormat="1" ht="21.75" customHeight="1">
      <c r="A42" s="9">
        <f t="shared" si="0"/>
        <v>36</v>
      </c>
      <c r="B42" s="84" t="s">
        <v>225</v>
      </c>
      <c r="C42" s="85" t="s">
        <v>195</v>
      </c>
      <c r="D42" s="86">
        <v>39642</v>
      </c>
      <c r="E42" s="87" t="s">
        <v>637</v>
      </c>
      <c r="F42" s="87" t="s">
        <v>541</v>
      </c>
      <c r="G42" s="88" t="s">
        <v>1018</v>
      </c>
      <c r="H42" s="89" t="s">
        <v>1790</v>
      </c>
      <c r="I42" s="51" t="s">
        <v>2204</v>
      </c>
    </row>
    <row r="43" spans="1:12" s="8" customFormat="1" ht="21.75" customHeight="1">
      <c r="A43" s="9">
        <f t="shared" si="0"/>
        <v>37</v>
      </c>
      <c r="B43" s="84" t="s">
        <v>1128</v>
      </c>
      <c r="C43" s="85" t="s">
        <v>29</v>
      </c>
      <c r="D43" s="86">
        <v>39748</v>
      </c>
      <c r="E43" s="87" t="s">
        <v>2336</v>
      </c>
      <c r="F43" s="87" t="s">
        <v>556</v>
      </c>
      <c r="G43" s="91" t="s">
        <v>2337</v>
      </c>
      <c r="H43" s="89"/>
      <c r="I43" s="51" t="s">
        <v>2204</v>
      </c>
      <c r="J43" s="24" t="str">
        <f>PROPER(C43)</f>
        <v>Việt</v>
      </c>
    </row>
    <row r="44" spans="1:12" s="8" customFormat="1" ht="21.75" customHeight="1">
      <c r="A44" s="9">
        <f t="shared" si="0"/>
        <v>38</v>
      </c>
      <c r="B44" s="84" t="s">
        <v>80</v>
      </c>
      <c r="C44" s="85" t="s">
        <v>29</v>
      </c>
      <c r="D44" s="86">
        <v>39812</v>
      </c>
      <c r="E44" s="87" t="s">
        <v>621</v>
      </c>
      <c r="F44" s="87" t="s">
        <v>544</v>
      </c>
      <c r="G44" s="88" t="s">
        <v>851</v>
      </c>
      <c r="H44" s="89"/>
      <c r="I44" s="51" t="s">
        <v>2204</v>
      </c>
      <c r="J44" s="24" t="str">
        <f>PROPER(C44)</f>
        <v>Việt</v>
      </c>
    </row>
    <row r="45" spans="1:12" ht="22.5" customHeight="1">
      <c r="A45" s="9">
        <f t="shared" si="0"/>
        <v>39</v>
      </c>
      <c r="B45" s="84" t="s">
        <v>1208</v>
      </c>
      <c r="C45" s="85" t="s">
        <v>111</v>
      </c>
      <c r="D45" s="86" t="s">
        <v>1198</v>
      </c>
      <c r="E45" s="87" t="s">
        <v>1290</v>
      </c>
      <c r="F45" s="87" t="s">
        <v>541</v>
      </c>
      <c r="G45" s="91" t="s">
        <v>2339</v>
      </c>
      <c r="H45" s="89"/>
      <c r="I45" s="51" t="s">
        <v>2204</v>
      </c>
      <c r="J45" s="24" t="str">
        <f>PROPER(C45)</f>
        <v>Vũ</v>
      </c>
      <c r="K45" s="24" t="str">
        <f>PROPER(D45)</f>
        <v>14/07/2008</v>
      </c>
    </row>
    <row r="46" spans="1:12" ht="22.5" customHeight="1">
      <c r="A46" s="9">
        <f t="shared" si="0"/>
        <v>40</v>
      </c>
      <c r="B46" s="84" t="s">
        <v>2013</v>
      </c>
      <c r="C46" s="85" t="s">
        <v>151</v>
      </c>
      <c r="D46" s="86">
        <v>39758</v>
      </c>
      <c r="E46" s="87" t="s">
        <v>1290</v>
      </c>
      <c r="F46" s="87" t="s">
        <v>541</v>
      </c>
      <c r="G46" s="91" t="s">
        <v>2990</v>
      </c>
      <c r="H46" s="89" t="s">
        <v>2759</v>
      </c>
      <c r="I46" s="51" t="s">
        <v>2204</v>
      </c>
      <c r="J46" s="24" t="str">
        <f t="shared" ref="J46:J48" si="1">PROPER(C46)</f>
        <v>Tiến</v>
      </c>
      <c r="K46" s="24"/>
    </row>
    <row r="47" spans="1:12" ht="22.5" customHeight="1">
      <c r="A47" s="9">
        <f t="shared" si="0"/>
        <v>41</v>
      </c>
      <c r="B47" s="84" t="s">
        <v>87</v>
      </c>
      <c r="C47" s="85" t="s">
        <v>88</v>
      </c>
      <c r="D47" s="86">
        <v>39633</v>
      </c>
      <c r="E47" s="87" t="s">
        <v>626</v>
      </c>
      <c r="F47" s="87" t="s">
        <v>541</v>
      </c>
      <c r="G47" s="91" t="s">
        <v>627</v>
      </c>
      <c r="H47" s="89" t="s">
        <v>3064</v>
      </c>
      <c r="I47" s="51" t="s">
        <v>2204</v>
      </c>
      <c r="J47" s="24" t="str">
        <f t="shared" si="1"/>
        <v>Hiệp</v>
      </c>
      <c r="K47" s="24"/>
    </row>
    <row r="48" spans="1:12" ht="22.5" customHeight="1">
      <c r="A48" s="9">
        <f t="shared" si="0"/>
        <v>42</v>
      </c>
      <c r="B48" s="84" t="s">
        <v>530</v>
      </c>
      <c r="C48" s="85" t="s">
        <v>294</v>
      </c>
      <c r="D48" s="86">
        <v>38498</v>
      </c>
      <c r="E48" s="87" t="s">
        <v>2896</v>
      </c>
      <c r="F48" s="87" t="s">
        <v>573</v>
      </c>
      <c r="G48" s="91" t="s">
        <v>3150</v>
      </c>
      <c r="H48" s="89" t="s">
        <v>3070</v>
      </c>
      <c r="I48" s="51" t="s">
        <v>2226</v>
      </c>
      <c r="J48" s="24" t="str">
        <f t="shared" si="1"/>
        <v>Linh</v>
      </c>
      <c r="K48" s="24"/>
    </row>
    <row r="49" spans="1:11" s="240" customFormat="1" ht="22.5" customHeight="1">
      <c r="A49" s="9">
        <f t="shared" si="0"/>
        <v>43</v>
      </c>
      <c r="B49" s="84" t="s">
        <v>3223</v>
      </c>
      <c r="C49" s="85" t="s">
        <v>1543</v>
      </c>
      <c r="D49" s="86">
        <v>39577</v>
      </c>
      <c r="E49" s="87" t="s">
        <v>3254</v>
      </c>
      <c r="F49" s="87" t="s">
        <v>565</v>
      </c>
      <c r="G49" s="91" t="s">
        <v>3255</v>
      </c>
      <c r="H49" s="89" t="s">
        <v>3219</v>
      </c>
      <c r="I49" s="51" t="s">
        <v>2204</v>
      </c>
      <c r="J49" s="239"/>
      <c r="K49" s="239"/>
    </row>
    <row r="50" spans="1:11" s="240" customFormat="1" ht="22.5" customHeight="1">
      <c r="A50" s="9">
        <f t="shared" si="0"/>
        <v>44</v>
      </c>
      <c r="B50" s="84" t="s">
        <v>1612</v>
      </c>
      <c r="C50" s="85" t="s">
        <v>240</v>
      </c>
      <c r="D50" s="86">
        <v>39772</v>
      </c>
      <c r="E50" s="87" t="s">
        <v>3436</v>
      </c>
      <c r="F50" s="87" t="s">
        <v>2637</v>
      </c>
      <c r="G50" s="91" t="s">
        <v>3437</v>
      </c>
      <c r="H50" s="89" t="s">
        <v>3420</v>
      </c>
      <c r="I50" s="51" t="s">
        <v>2204</v>
      </c>
      <c r="J50" s="239"/>
      <c r="K50" s="239"/>
    </row>
    <row r="51" spans="1:11" s="240" customFormat="1" ht="22.5" customHeight="1">
      <c r="A51" s="9">
        <f t="shared" si="0"/>
        <v>45</v>
      </c>
      <c r="B51" s="84" t="s">
        <v>3428</v>
      </c>
      <c r="C51" s="85" t="s">
        <v>1425</v>
      </c>
      <c r="D51" s="86">
        <v>39292</v>
      </c>
      <c r="E51" s="87" t="s">
        <v>782</v>
      </c>
      <c r="F51" s="87" t="s">
        <v>556</v>
      </c>
      <c r="G51" s="91" t="s">
        <v>3438</v>
      </c>
      <c r="H51" s="89" t="s">
        <v>3427</v>
      </c>
      <c r="I51" s="51" t="s">
        <v>2204</v>
      </c>
      <c r="J51" s="239"/>
      <c r="K51" s="239"/>
    </row>
    <row r="52" spans="1:11" s="240" customFormat="1" ht="22.5" customHeight="1">
      <c r="A52" s="9">
        <f t="shared" si="0"/>
        <v>46</v>
      </c>
      <c r="B52" s="84" t="s">
        <v>3434</v>
      </c>
      <c r="C52" s="85" t="s">
        <v>25</v>
      </c>
      <c r="D52" s="86">
        <v>39182</v>
      </c>
      <c r="E52" s="87" t="s">
        <v>626</v>
      </c>
      <c r="F52" s="87" t="s">
        <v>541</v>
      </c>
      <c r="G52" s="91" t="s">
        <v>3519</v>
      </c>
      <c r="H52" s="89" t="s">
        <v>3435</v>
      </c>
      <c r="I52" s="51" t="s">
        <v>2204</v>
      </c>
      <c r="J52" s="239"/>
      <c r="K52" s="239"/>
    </row>
    <row r="53" spans="1:11" s="240" customFormat="1" ht="22.5" customHeight="1">
      <c r="A53" s="9">
        <f t="shared" si="0"/>
        <v>47</v>
      </c>
      <c r="B53" s="84" t="s">
        <v>3480</v>
      </c>
      <c r="C53" s="85" t="s">
        <v>3481</v>
      </c>
      <c r="D53" s="86">
        <v>39501</v>
      </c>
      <c r="E53" s="87" t="s">
        <v>3520</v>
      </c>
      <c r="F53" s="87" t="s">
        <v>3521</v>
      </c>
      <c r="G53" s="91"/>
      <c r="H53" s="89" t="s">
        <v>3479</v>
      </c>
      <c r="I53" s="182" t="s">
        <v>3491</v>
      </c>
      <c r="J53" s="239"/>
      <c r="K53" s="239"/>
    </row>
    <row r="54" spans="1:11" s="240" customFormat="1" ht="22.5" customHeight="1">
      <c r="A54" s="9">
        <f t="shared" si="0"/>
        <v>48</v>
      </c>
      <c r="B54" s="269" t="s">
        <v>522</v>
      </c>
      <c r="C54" s="270" t="s">
        <v>168</v>
      </c>
      <c r="D54" s="271">
        <v>38043</v>
      </c>
      <c r="E54" s="272" t="s">
        <v>590</v>
      </c>
      <c r="F54" s="272" t="s">
        <v>541</v>
      </c>
      <c r="G54" s="273" t="s">
        <v>3283</v>
      </c>
      <c r="H54" s="274"/>
      <c r="I54" s="182" t="s">
        <v>3284</v>
      </c>
      <c r="J54" s="239"/>
      <c r="K54" s="239"/>
    </row>
    <row r="55" spans="1:11" s="240" customFormat="1" ht="22.5" customHeight="1">
      <c r="A55" s="9">
        <f t="shared" si="0"/>
        <v>49</v>
      </c>
      <c r="B55" s="269" t="s">
        <v>1972</v>
      </c>
      <c r="C55" s="270" t="s">
        <v>42</v>
      </c>
      <c r="D55" s="271">
        <v>37321</v>
      </c>
      <c r="E55" s="272" t="s">
        <v>590</v>
      </c>
      <c r="F55" s="272" t="s">
        <v>541</v>
      </c>
      <c r="G55" s="273" t="s">
        <v>644</v>
      </c>
      <c r="H55" s="274"/>
      <c r="I55" s="182" t="s">
        <v>3284</v>
      </c>
      <c r="J55" s="239"/>
      <c r="K55" s="239"/>
    </row>
    <row r="56" spans="1:11" s="240" customFormat="1" ht="22.5" customHeight="1">
      <c r="A56" s="9"/>
      <c r="B56" s="43"/>
      <c r="C56" s="44"/>
      <c r="D56" s="86"/>
      <c r="E56" s="87"/>
      <c r="F56" s="87"/>
      <c r="G56" s="91"/>
      <c r="H56" s="89"/>
      <c r="I56" s="51"/>
      <c r="J56" s="239"/>
      <c r="K56" s="239"/>
    </row>
    <row r="57" spans="1:11" s="240" customFormat="1" ht="22.5" customHeight="1">
      <c r="A57" s="9"/>
      <c r="B57" s="84"/>
      <c r="C57" s="85"/>
      <c r="D57" s="86"/>
      <c r="E57" s="87"/>
      <c r="F57" s="87"/>
      <c r="G57" s="91"/>
      <c r="H57" s="89"/>
      <c r="I57" s="51"/>
      <c r="J57" s="239"/>
      <c r="K57" s="239"/>
    </row>
  </sheetData>
  <sortState ref="B7:J46">
    <sortCondition ref="C7:C46"/>
  </sortState>
  <mergeCells count="8">
    <mergeCell ref="B6:C6"/>
    <mergeCell ref="A1:D1"/>
    <mergeCell ref="E1:H1"/>
    <mergeCell ref="A2:D2"/>
    <mergeCell ref="E2:H2"/>
    <mergeCell ref="A4:H4"/>
    <mergeCell ref="A5:H5"/>
    <mergeCell ref="E6:F6"/>
  </mergeCells>
  <pageMargins left="0.2" right="0.2" top="0.38" bottom="0.28999999999999998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43" workbookViewId="0">
      <selection activeCell="A52" sqref="A52"/>
    </sheetView>
  </sheetViews>
  <sheetFormatPr defaultRowHeight="15"/>
  <cols>
    <col min="1" max="1" width="5.28515625" style="1" customWidth="1"/>
    <col min="2" max="2" width="21.5703125" style="1" customWidth="1"/>
    <col min="3" max="3" width="8" style="1" customWidth="1"/>
    <col min="4" max="4" width="10.28515625" style="1" customWidth="1"/>
    <col min="5" max="5" width="14.140625" style="42" customWidth="1"/>
    <col min="6" max="6" width="14.5703125" style="42" customWidth="1"/>
    <col min="7" max="7" width="13.140625" style="1" customWidth="1"/>
    <col min="8" max="8" width="24.7109375" style="1" customWidth="1"/>
    <col min="9" max="9" width="14.42578125" style="1" customWidth="1"/>
    <col min="10" max="10" width="30.5703125" style="111" customWidth="1"/>
    <col min="11" max="11" width="18.28515625" style="42" customWidth="1"/>
    <col min="12" max="16384" width="9.140625" style="1"/>
  </cols>
  <sheetData>
    <row r="1" spans="1:12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</row>
    <row r="2" spans="1:12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</row>
    <row r="3" spans="1:12" ht="15.75" customHeight="1">
      <c r="A3" s="2"/>
      <c r="B3" s="3"/>
      <c r="C3" s="3"/>
      <c r="D3" s="3"/>
    </row>
    <row r="4" spans="1:12" ht="15.75" customHeight="1">
      <c r="A4" s="308" t="s">
        <v>10</v>
      </c>
      <c r="B4" s="308"/>
      <c r="C4" s="308"/>
      <c r="D4" s="308"/>
      <c r="E4" s="308"/>
      <c r="F4" s="308"/>
      <c r="G4" s="308"/>
      <c r="H4" s="308"/>
    </row>
    <row r="5" spans="1:12" s="4" customFormat="1" ht="23.25" customHeight="1">
      <c r="A5" s="309" t="s">
        <v>1298</v>
      </c>
      <c r="B5" s="309"/>
      <c r="C5" s="309"/>
      <c r="D5" s="309"/>
      <c r="E5" s="309"/>
      <c r="F5" s="309"/>
      <c r="G5" s="309"/>
      <c r="H5" s="309"/>
      <c r="J5" s="111"/>
      <c r="K5" s="47"/>
    </row>
    <row r="6" spans="1:12" s="8" customFormat="1" ht="45.75" customHeight="1">
      <c r="A6" s="7" t="s">
        <v>4</v>
      </c>
      <c r="B6" s="310" t="s">
        <v>5</v>
      </c>
      <c r="C6" s="311"/>
      <c r="D6" s="20" t="s">
        <v>6</v>
      </c>
      <c r="E6" s="304" t="s">
        <v>11</v>
      </c>
      <c r="F6" s="305"/>
      <c r="G6" s="20" t="s">
        <v>226</v>
      </c>
      <c r="H6" s="7" t="s">
        <v>7</v>
      </c>
      <c r="I6" s="7" t="s">
        <v>1630</v>
      </c>
      <c r="J6" s="6" t="s">
        <v>2393</v>
      </c>
      <c r="K6" s="48"/>
    </row>
    <row r="7" spans="1:12" s="8" customFormat="1" ht="20.25" customHeight="1">
      <c r="A7" s="9">
        <f t="shared" ref="A7:A34" si="0">ROW()-6</f>
        <v>1</v>
      </c>
      <c r="B7" s="84" t="s">
        <v>1548</v>
      </c>
      <c r="C7" s="85" t="s">
        <v>94</v>
      </c>
      <c r="D7" s="86" t="s">
        <v>1534</v>
      </c>
      <c r="E7" s="87" t="s">
        <v>2403</v>
      </c>
      <c r="F7" s="87" t="s">
        <v>573</v>
      </c>
      <c r="G7" s="91" t="s">
        <v>2404</v>
      </c>
      <c r="H7" s="89"/>
      <c r="I7" s="25" t="s">
        <v>1516</v>
      </c>
      <c r="J7" s="112" t="s">
        <v>2204</v>
      </c>
      <c r="K7" s="48">
        <v>2</v>
      </c>
    </row>
    <row r="8" spans="1:12" s="8" customFormat="1" ht="20.25" customHeight="1">
      <c r="A8" s="9">
        <f t="shared" si="0"/>
        <v>2</v>
      </c>
      <c r="B8" s="84" t="s">
        <v>1549</v>
      </c>
      <c r="C8" s="85" t="s">
        <v>55</v>
      </c>
      <c r="D8" s="86" t="s">
        <v>1535</v>
      </c>
      <c r="E8" s="87" t="s">
        <v>2180</v>
      </c>
      <c r="F8" s="87" t="s">
        <v>541</v>
      </c>
      <c r="G8" s="90" t="s">
        <v>1551</v>
      </c>
      <c r="H8" s="89" t="s">
        <v>1550</v>
      </c>
      <c r="I8" s="25" t="s">
        <v>1516</v>
      </c>
      <c r="J8" s="112" t="s">
        <v>2204</v>
      </c>
      <c r="K8" s="48" t="str">
        <f t="shared" ref="K8:L11" si="1">PROPER(B8)</f>
        <v>Nguyễn Trần Gia</v>
      </c>
      <c r="L8" s="8" t="str">
        <f t="shared" si="1"/>
        <v>Bảo</v>
      </c>
    </row>
    <row r="9" spans="1:12" s="8" customFormat="1" ht="20.25" customHeight="1">
      <c r="A9" s="9">
        <f t="shared" si="0"/>
        <v>3</v>
      </c>
      <c r="B9" s="84" t="s">
        <v>206</v>
      </c>
      <c r="C9" s="85" t="s">
        <v>15</v>
      </c>
      <c r="D9" s="86">
        <v>39780</v>
      </c>
      <c r="E9" s="87" t="s">
        <v>628</v>
      </c>
      <c r="F9" s="87" t="s">
        <v>631</v>
      </c>
      <c r="G9" s="90" t="s">
        <v>821</v>
      </c>
      <c r="H9" s="89"/>
      <c r="I9" s="25"/>
      <c r="J9" s="117" t="s">
        <v>3334</v>
      </c>
      <c r="K9" s="48" t="str">
        <f t="shared" si="1"/>
        <v xml:space="preserve">Nguyễn Xuân Thanh </v>
      </c>
      <c r="L9" s="8" t="str">
        <f t="shared" si="1"/>
        <v>Bình</v>
      </c>
    </row>
    <row r="10" spans="1:12" s="8" customFormat="1" ht="20.25" customHeight="1">
      <c r="A10" s="9">
        <f t="shared" si="0"/>
        <v>4</v>
      </c>
      <c r="B10" s="84" t="s">
        <v>77</v>
      </c>
      <c r="C10" s="85" t="s">
        <v>15</v>
      </c>
      <c r="D10" s="86">
        <v>39768</v>
      </c>
      <c r="E10" s="87" t="s">
        <v>806</v>
      </c>
      <c r="F10" s="87" t="s">
        <v>573</v>
      </c>
      <c r="G10" s="90" t="s">
        <v>822</v>
      </c>
      <c r="H10" s="89"/>
      <c r="I10" s="25"/>
      <c r="J10" s="112" t="s">
        <v>2204</v>
      </c>
      <c r="K10" s="48" t="str">
        <f t="shared" si="1"/>
        <v xml:space="preserve">Nguyễn Đình </v>
      </c>
      <c r="L10" s="8" t="str">
        <f t="shared" si="1"/>
        <v>Bình</v>
      </c>
    </row>
    <row r="11" spans="1:12" s="8" customFormat="1" ht="20.25" customHeight="1">
      <c r="A11" s="9">
        <f t="shared" si="0"/>
        <v>5</v>
      </c>
      <c r="B11" s="84" t="s">
        <v>95</v>
      </c>
      <c r="C11" s="85" t="s">
        <v>104</v>
      </c>
      <c r="D11" s="86">
        <v>39741</v>
      </c>
      <c r="E11" s="87" t="s">
        <v>1065</v>
      </c>
      <c r="F11" s="87" t="s">
        <v>544</v>
      </c>
      <c r="G11" s="90" t="s">
        <v>1066</v>
      </c>
      <c r="H11" s="89"/>
      <c r="I11" s="25"/>
      <c r="J11" s="112" t="s">
        <v>2204</v>
      </c>
      <c r="K11" s="48" t="str">
        <f t="shared" si="1"/>
        <v xml:space="preserve">Nguyễn Văn </v>
      </c>
      <c r="L11" s="8" t="str">
        <f t="shared" si="1"/>
        <v>Chương</v>
      </c>
    </row>
    <row r="12" spans="1:12" s="8" customFormat="1" ht="20.25" customHeight="1">
      <c r="A12" s="9">
        <f t="shared" si="0"/>
        <v>6</v>
      </c>
      <c r="B12" s="84" t="s">
        <v>1212</v>
      </c>
      <c r="C12" s="85" t="s">
        <v>27</v>
      </c>
      <c r="D12" s="86" t="s">
        <v>1202</v>
      </c>
      <c r="E12" s="87" t="s">
        <v>637</v>
      </c>
      <c r="F12" s="87" t="s">
        <v>541</v>
      </c>
      <c r="G12" s="91" t="s">
        <v>2412</v>
      </c>
      <c r="H12" s="89"/>
      <c r="I12" s="25"/>
      <c r="J12" s="112" t="s">
        <v>2204</v>
      </c>
      <c r="K12" s="48">
        <v>2</v>
      </c>
    </row>
    <row r="13" spans="1:12" s="101" customFormat="1" ht="20.25" customHeight="1">
      <c r="A13" s="9">
        <f t="shared" si="0"/>
        <v>7</v>
      </c>
      <c r="B13" s="84" t="s">
        <v>1776</v>
      </c>
      <c r="C13" s="85" t="s">
        <v>42</v>
      </c>
      <c r="D13" s="86">
        <v>39717</v>
      </c>
      <c r="E13" s="87" t="s">
        <v>1699</v>
      </c>
      <c r="F13" s="87" t="s">
        <v>544</v>
      </c>
      <c r="G13" s="91" t="s">
        <v>2422</v>
      </c>
      <c r="H13" s="89" t="s">
        <v>1925</v>
      </c>
      <c r="I13" s="99" t="s">
        <v>1777</v>
      </c>
      <c r="J13" s="115" t="s">
        <v>2204</v>
      </c>
      <c r="K13" s="100">
        <v>2</v>
      </c>
    </row>
    <row r="14" spans="1:12" s="8" customFormat="1" ht="20.25" customHeight="1">
      <c r="A14" s="9">
        <f t="shared" si="0"/>
        <v>8</v>
      </c>
      <c r="B14" s="84" t="s">
        <v>204</v>
      </c>
      <c r="C14" s="85" t="s">
        <v>17</v>
      </c>
      <c r="D14" s="86">
        <v>39484</v>
      </c>
      <c r="E14" s="87" t="s">
        <v>995</v>
      </c>
      <c r="F14" s="87" t="s">
        <v>544</v>
      </c>
      <c r="G14" s="90" t="s">
        <v>1002</v>
      </c>
      <c r="H14" s="89"/>
      <c r="I14" s="25"/>
      <c r="J14" s="112" t="s">
        <v>2204</v>
      </c>
      <c r="K14" s="48">
        <v>2</v>
      </c>
    </row>
    <row r="15" spans="1:12" s="8" customFormat="1" ht="20.25" customHeight="1">
      <c r="A15" s="9">
        <f t="shared" si="0"/>
        <v>9</v>
      </c>
      <c r="B15" s="84" t="s">
        <v>190</v>
      </c>
      <c r="C15" s="85" t="s">
        <v>166</v>
      </c>
      <c r="D15" s="86">
        <v>39731</v>
      </c>
      <c r="E15" s="87" t="s">
        <v>596</v>
      </c>
      <c r="F15" s="87" t="s">
        <v>544</v>
      </c>
      <c r="G15" s="91" t="s">
        <v>2410</v>
      </c>
      <c r="H15" s="89"/>
      <c r="I15" s="160" t="s">
        <v>2411</v>
      </c>
      <c r="J15" s="112" t="s">
        <v>2204</v>
      </c>
      <c r="K15" s="48">
        <v>2</v>
      </c>
    </row>
    <row r="16" spans="1:12" s="8" customFormat="1" ht="20.25" customHeight="1">
      <c r="A16" s="9">
        <f t="shared" si="0"/>
        <v>10</v>
      </c>
      <c r="B16" s="84" t="s">
        <v>1309</v>
      </c>
      <c r="C16" s="85" t="s">
        <v>166</v>
      </c>
      <c r="D16" s="86" t="s">
        <v>1315</v>
      </c>
      <c r="E16" s="87" t="s">
        <v>628</v>
      </c>
      <c r="F16" s="87" t="s">
        <v>631</v>
      </c>
      <c r="G16" s="90">
        <v>788624302</v>
      </c>
      <c r="H16" s="89"/>
      <c r="I16" s="25"/>
      <c r="J16" s="117" t="s">
        <v>3334</v>
      </c>
      <c r="K16" s="48">
        <v>2</v>
      </c>
    </row>
    <row r="17" spans="1:12" s="8" customFormat="1" ht="20.25" customHeight="1">
      <c r="A17" s="9">
        <f t="shared" si="0"/>
        <v>11</v>
      </c>
      <c r="B17" s="84" t="s">
        <v>2405</v>
      </c>
      <c r="C17" s="85" t="s">
        <v>128</v>
      </c>
      <c r="D17" s="86">
        <v>38674</v>
      </c>
      <c r="E17" s="87" t="s">
        <v>681</v>
      </c>
      <c r="F17" s="87" t="s">
        <v>544</v>
      </c>
      <c r="G17" s="91" t="s">
        <v>2406</v>
      </c>
      <c r="H17" s="89"/>
      <c r="I17" s="25"/>
      <c r="J17" s="112" t="s">
        <v>2204</v>
      </c>
      <c r="K17" s="48">
        <v>2</v>
      </c>
    </row>
    <row r="18" spans="1:12" s="8" customFormat="1" ht="20.25" customHeight="1">
      <c r="A18" s="9">
        <f t="shared" si="0"/>
        <v>12</v>
      </c>
      <c r="B18" s="84" t="s">
        <v>107</v>
      </c>
      <c r="C18" s="85" t="s">
        <v>145</v>
      </c>
      <c r="D18" s="86">
        <v>39492</v>
      </c>
      <c r="E18" s="87" t="s">
        <v>588</v>
      </c>
      <c r="F18" s="87" t="s">
        <v>573</v>
      </c>
      <c r="G18" s="91" t="s">
        <v>2397</v>
      </c>
      <c r="H18" s="89"/>
      <c r="I18" s="25"/>
      <c r="J18" s="112" t="s">
        <v>2398</v>
      </c>
      <c r="K18" s="48">
        <v>2</v>
      </c>
    </row>
    <row r="19" spans="1:12" s="8" customFormat="1" ht="20.25" customHeight="1">
      <c r="A19" s="9">
        <f t="shared" si="0"/>
        <v>13</v>
      </c>
      <c r="B19" s="84" t="s">
        <v>202</v>
      </c>
      <c r="C19" s="85" t="s">
        <v>60</v>
      </c>
      <c r="D19" s="86">
        <v>39696</v>
      </c>
      <c r="E19" s="87" t="s">
        <v>628</v>
      </c>
      <c r="F19" s="87" t="s">
        <v>631</v>
      </c>
      <c r="G19" s="90" t="s">
        <v>840</v>
      </c>
      <c r="H19" s="89"/>
      <c r="I19" s="25"/>
      <c r="J19" s="117" t="s">
        <v>3334</v>
      </c>
      <c r="K19" s="48">
        <v>2</v>
      </c>
    </row>
    <row r="20" spans="1:12" s="8" customFormat="1" ht="20.25" customHeight="1">
      <c r="A20" s="9">
        <f t="shared" si="0"/>
        <v>14</v>
      </c>
      <c r="B20" s="84" t="s">
        <v>1075</v>
      </c>
      <c r="C20" s="85" t="s">
        <v>60</v>
      </c>
      <c r="D20" s="86">
        <v>39287</v>
      </c>
      <c r="E20" s="87" t="s">
        <v>903</v>
      </c>
      <c r="F20" s="87" t="s">
        <v>541</v>
      </c>
      <c r="G20" s="91" t="s">
        <v>2413</v>
      </c>
      <c r="H20" s="89"/>
      <c r="I20" s="25"/>
      <c r="J20" s="112" t="s">
        <v>2204</v>
      </c>
      <c r="K20" s="48">
        <v>2</v>
      </c>
    </row>
    <row r="21" spans="1:12" s="8" customFormat="1" ht="20.25" customHeight="1">
      <c r="A21" s="9">
        <f t="shared" si="0"/>
        <v>15</v>
      </c>
      <c r="B21" s="84" t="s">
        <v>1544</v>
      </c>
      <c r="C21" s="85" t="s">
        <v>60</v>
      </c>
      <c r="D21" s="86" t="s">
        <v>1529</v>
      </c>
      <c r="E21" s="87" t="s">
        <v>554</v>
      </c>
      <c r="F21" s="87" t="s">
        <v>544</v>
      </c>
      <c r="G21" s="91" t="s">
        <v>2418</v>
      </c>
      <c r="H21" s="89"/>
      <c r="I21" s="25" t="s">
        <v>1516</v>
      </c>
      <c r="J21" s="112" t="s">
        <v>2215</v>
      </c>
      <c r="K21" s="48">
        <v>2</v>
      </c>
    </row>
    <row r="22" spans="1:12" s="8" customFormat="1" ht="20.25" customHeight="1">
      <c r="A22" s="9">
        <f t="shared" si="0"/>
        <v>16</v>
      </c>
      <c r="B22" s="84" t="s">
        <v>211</v>
      </c>
      <c r="C22" s="85" t="s">
        <v>83</v>
      </c>
      <c r="D22" s="86">
        <v>39729</v>
      </c>
      <c r="E22" s="87" t="s">
        <v>825</v>
      </c>
      <c r="F22" s="87" t="s">
        <v>631</v>
      </c>
      <c r="G22" s="90" t="s">
        <v>839</v>
      </c>
      <c r="H22" s="89"/>
      <c r="I22" s="25"/>
      <c r="J22" s="112" t="s">
        <v>2204</v>
      </c>
      <c r="K22" s="48" t="str">
        <f t="shared" ref="K22:L24" si="2">PROPER(B22)</f>
        <v xml:space="preserve">Trần Huỳnh Anh </v>
      </c>
      <c r="L22" s="8" t="str">
        <f t="shared" si="2"/>
        <v>Khôi</v>
      </c>
    </row>
    <row r="23" spans="1:12" s="8" customFormat="1" ht="20.25" customHeight="1">
      <c r="A23" s="9">
        <f t="shared" si="0"/>
        <v>17</v>
      </c>
      <c r="B23" s="84" t="s">
        <v>1442</v>
      </c>
      <c r="C23" s="85" t="s">
        <v>108</v>
      </c>
      <c r="D23" s="86" t="s">
        <v>1143</v>
      </c>
      <c r="E23" s="87" t="s">
        <v>629</v>
      </c>
      <c r="F23" s="87" t="s">
        <v>541</v>
      </c>
      <c r="G23" s="91" t="s">
        <v>2399</v>
      </c>
      <c r="H23" s="89"/>
      <c r="I23" s="25"/>
      <c r="J23" s="112" t="s">
        <v>2400</v>
      </c>
      <c r="K23" s="48" t="str">
        <f t="shared" si="2"/>
        <v>Nguyễn Trung</v>
      </c>
      <c r="L23" s="8" t="str">
        <f t="shared" si="2"/>
        <v>Kiên</v>
      </c>
    </row>
    <row r="24" spans="1:12" s="8" customFormat="1" ht="20.25" customHeight="1">
      <c r="A24" s="9">
        <f t="shared" si="0"/>
        <v>18</v>
      </c>
      <c r="B24" s="84" t="s">
        <v>189</v>
      </c>
      <c r="C24" s="85" t="s">
        <v>34</v>
      </c>
      <c r="D24" s="86">
        <v>39713</v>
      </c>
      <c r="E24" s="87" t="s">
        <v>826</v>
      </c>
      <c r="F24" s="87" t="s">
        <v>544</v>
      </c>
      <c r="G24" s="90" t="s">
        <v>838</v>
      </c>
      <c r="H24" s="89"/>
      <c r="I24" s="25"/>
      <c r="J24" s="112" t="s">
        <v>2204</v>
      </c>
      <c r="K24" s="48" t="str">
        <f t="shared" si="2"/>
        <v xml:space="preserve">Võ Bùi Thế </v>
      </c>
      <c r="L24" s="8" t="str">
        <f t="shared" si="2"/>
        <v>Kiệt</v>
      </c>
    </row>
    <row r="25" spans="1:12" s="8" customFormat="1" ht="20.25" customHeight="1">
      <c r="A25" s="9">
        <f t="shared" si="0"/>
        <v>19</v>
      </c>
      <c r="B25" s="84" t="s">
        <v>1125</v>
      </c>
      <c r="C25" s="85" t="s">
        <v>478</v>
      </c>
      <c r="D25" s="86" t="s">
        <v>1093</v>
      </c>
      <c r="E25" s="87" t="s">
        <v>917</v>
      </c>
      <c r="F25" s="87" t="s">
        <v>544</v>
      </c>
      <c r="G25" s="91" t="s">
        <v>2407</v>
      </c>
      <c r="H25" s="89"/>
      <c r="I25" s="25" t="s">
        <v>1791</v>
      </c>
      <c r="J25" s="112" t="s">
        <v>2204</v>
      </c>
      <c r="K25" s="48">
        <v>2</v>
      </c>
    </row>
    <row r="26" spans="1:12" s="8" customFormat="1" ht="20.25" customHeight="1">
      <c r="A26" s="9">
        <f t="shared" si="0"/>
        <v>20</v>
      </c>
      <c r="B26" s="84" t="s">
        <v>89</v>
      </c>
      <c r="C26" s="85" t="s">
        <v>188</v>
      </c>
      <c r="D26" s="86">
        <v>39539</v>
      </c>
      <c r="E26" s="87" t="s">
        <v>705</v>
      </c>
      <c r="F26" s="87" t="s">
        <v>541</v>
      </c>
      <c r="G26" s="90" t="s">
        <v>837</v>
      </c>
      <c r="H26" s="89"/>
      <c r="I26" s="25"/>
      <c r="J26" s="112" t="s">
        <v>2204</v>
      </c>
      <c r="K26" s="48">
        <v>2</v>
      </c>
    </row>
    <row r="27" spans="1:12" s="8" customFormat="1" ht="20.25" customHeight="1">
      <c r="A27" s="9">
        <f t="shared" si="0"/>
        <v>21</v>
      </c>
      <c r="B27" s="84" t="s">
        <v>1311</v>
      </c>
      <c r="C27" s="85" t="s">
        <v>1312</v>
      </c>
      <c r="D27" s="86" t="s">
        <v>1317</v>
      </c>
      <c r="E27" s="87" t="s">
        <v>605</v>
      </c>
      <c r="F27" s="87" t="s">
        <v>541</v>
      </c>
      <c r="G27" s="91" t="s">
        <v>2396</v>
      </c>
      <c r="H27" s="89"/>
      <c r="I27" s="25"/>
      <c r="J27" s="112" t="s">
        <v>2204</v>
      </c>
      <c r="K27" s="48" t="str">
        <f>PROPER(B27)</f>
        <v>Bùi Minh</v>
      </c>
      <c r="L27" s="8" t="str">
        <f>PROPER(C27)</f>
        <v>Lợi</v>
      </c>
    </row>
    <row r="28" spans="1:12" s="8" customFormat="1" ht="20.25" customHeight="1">
      <c r="A28" s="9">
        <f t="shared" si="0"/>
        <v>22</v>
      </c>
      <c r="B28" s="84" t="s">
        <v>1133</v>
      </c>
      <c r="C28" s="85" t="s">
        <v>100</v>
      </c>
      <c r="D28" s="86" t="s">
        <v>1532</v>
      </c>
      <c r="E28" s="87" t="s">
        <v>918</v>
      </c>
      <c r="F28" s="87" t="s">
        <v>541</v>
      </c>
      <c r="G28" s="91" t="s">
        <v>2417</v>
      </c>
      <c r="H28" s="89"/>
      <c r="I28" s="25" t="s">
        <v>1516</v>
      </c>
      <c r="J28" s="112" t="s">
        <v>2204</v>
      </c>
      <c r="K28" s="48">
        <v>2</v>
      </c>
    </row>
    <row r="29" spans="1:12" s="8" customFormat="1" ht="20.25" customHeight="1">
      <c r="A29" s="9">
        <f t="shared" si="0"/>
        <v>23</v>
      </c>
      <c r="B29" s="84" t="s">
        <v>214</v>
      </c>
      <c r="C29" s="85" t="s">
        <v>9</v>
      </c>
      <c r="D29" s="86">
        <v>39728</v>
      </c>
      <c r="E29" s="87" t="s">
        <v>616</v>
      </c>
      <c r="F29" s="87" t="s">
        <v>573</v>
      </c>
      <c r="G29" s="90" t="s">
        <v>834</v>
      </c>
      <c r="H29" s="89"/>
      <c r="I29" s="25"/>
      <c r="J29" s="112" t="s">
        <v>2204</v>
      </c>
      <c r="K29" s="48" t="str">
        <f>PROPER(B29)</f>
        <v xml:space="preserve">Đinh Phú Vinh </v>
      </c>
      <c r="L29" s="8" t="str">
        <f>PROPER(C29)</f>
        <v>Nam</v>
      </c>
    </row>
    <row r="30" spans="1:12" s="8" customFormat="1" ht="20.25" customHeight="1">
      <c r="A30" s="9">
        <f t="shared" si="0"/>
        <v>24</v>
      </c>
      <c r="B30" s="84" t="s">
        <v>215</v>
      </c>
      <c r="C30" s="85" t="s">
        <v>216</v>
      </c>
      <c r="D30" s="86">
        <v>39492</v>
      </c>
      <c r="E30" s="87" t="s">
        <v>630</v>
      </c>
      <c r="F30" s="87" t="s">
        <v>541</v>
      </c>
      <c r="G30" s="90" t="s">
        <v>833</v>
      </c>
      <c r="H30" s="89"/>
      <c r="I30" s="25"/>
      <c r="J30" s="112" t="s">
        <v>2204</v>
      </c>
      <c r="K30" s="48">
        <v>2</v>
      </c>
    </row>
    <row r="31" spans="1:12" s="8" customFormat="1" ht="20.25" customHeight="1">
      <c r="A31" s="9">
        <f t="shared" si="0"/>
        <v>25</v>
      </c>
      <c r="B31" s="84" t="s">
        <v>1546</v>
      </c>
      <c r="C31" s="85" t="s">
        <v>216</v>
      </c>
      <c r="D31" s="86" t="s">
        <v>1531</v>
      </c>
      <c r="E31" s="87" t="s">
        <v>628</v>
      </c>
      <c r="F31" s="87" t="s">
        <v>631</v>
      </c>
      <c r="G31" s="91" t="s">
        <v>2416</v>
      </c>
      <c r="H31" s="89"/>
      <c r="I31" s="25" t="s">
        <v>1516</v>
      </c>
      <c r="J31" s="117" t="s">
        <v>3334</v>
      </c>
      <c r="K31" s="48">
        <v>2</v>
      </c>
    </row>
    <row r="32" spans="1:12" s="8" customFormat="1" ht="20.25" customHeight="1">
      <c r="A32" s="9">
        <f t="shared" si="0"/>
        <v>26</v>
      </c>
      <c r="B32" s="84" t="s">
        <v>91</v>
      </c>
      <c r="C32" s="85" t="s">
        <v>92</v>
      </c>
      <c r="D32" s="86">
        <v>39693</v>
      </c>
      <c r="E32" s="87" t="s">
        <v>554</v>
      </c>
      <c r="F32" s="87" t="s">
        <v>544</v>
      </c>
      <c r="G32" s="90" t="s">
        <v>832</v>
      </c>
      <c r="H32" s="89"/>
      <c r="I32" s="25"/>
      <c r="J32" s="112" t="s">
        <v>2204</v>
      </c>
      <c r="K32" s="48" t="str">
        <f>PROPER(B32)</f>
        <v xml:space="preserve">Nguyễn Thiện </v>
      </c>
      <c r="L32" s="8" t="str">
        <f>PROPER(C32)</f>
        <v>Nhân</v>
      </c>
    </row>
    <row r="33" spans="1:12" s="8" customFormat="1" ht="20.25" customHeight="1">
      <c r="A33" s="9">
        <f t="shared" si="0"/>
        <v>27</v>
      </c>
      <c r="B33" s="84" t="s">
        <v>89</v>
      </c>
      <c r="C33" s="85" t="s">
        <v>92</v>
      </c>
      <c r="D33" s="86">
        <v>39488</v>
      </c>
      <c r="E33" s="87" t="s">
        <v>827</v>
      </c>
      <c r="F33" s="87" t="s">
        <v>544</v>
      </c>
      <c r="G33" s="90" t="s">
        <v>831</v>
      </c>
      <c r="H33" s="89"/>
      <c r="I33" s="25"/>
      <c r="J33" s="112" t="s">
        <v>2204</v>
      </c>
      <c r="K33" s="48">
        <v>2</v>
      </c>
    </row>
    <row r="34" spans="1:12" s="8" customFormat="1" ht="20.25" customHeight="1">
      <c r="A34" s="9">
        <f t="shared" si="0"/>
        <v>28</v>
      </c>
      <c r="B34" s="84" t="s">
        <v>1537</v>
      </c>
      <c r="C34" s="85" t="s">
        <v>1538</v>
      </c>
      <c r="D34" s="86" t="s">
        <v>1525</v>
      </c>
      <c r="E34" s="87" t="s">
        <v>2201</v>
      </c>
      <c r="F34" s="87" t="s">
        <v>565</v>
      </c>
      <c r="G34" s="91" t="s">
        <v>2419</v>
      </c>
      <c r="H34" s="89"/>
      <c r="I34" s="25" t="s">
        <v>1516</v>
      </c>
      <c r="J34" s="112" t="s">
        <v>2204</v>
      </c>
      <c r="K34" s="48">
        <v>2</v>
      </c>
    </row>
    <row r="35" spans="1:12" s="8" customFormat="1" ht="20.25" customHeight="1">
      <c r="A35" s="9">
        <f t="shared" ref="A35:A52" si="3">ROW()-6</f>
        <v>29</v>
      </c>
      <c r="B35" s="84" t="s">
        <v>1083</v>
      </c>
      <c r="C35" s="85" t="s">
        <v>96</v>
      </c>
      <c r="D35" s="86">
        <v>39800</v>
      </c>
      <c r="E35" s="87" t="s">
        <v>552</v>
      </c>
      <c r="F35" s="87" t="s">
        <v>553</v>
      </c>
      <c r="G35" s="91" t="s">
        <v>2395</v>
      </c>
      <c r="H35" s="89"/>
      <c r="I35" s="25"/>
      <c r="J35" s="112" t="s">
        <v>2204</v>
      </c>
      <c r="K35" s="48" t="str">
        <f>PROPER(B35)</f>
        <v>Phạm Văn</v>
      </c>
      <c r="L35" s="8" t="str">
        <f>PROPER(C35)</f>
        <v>Phát</v>
      </c>
    </row>
    <row r="36" spans="1:12" s="8" customFormat="1" ht="20.25" customHeight="1">
      <c r="A36" s="9">
        <f t="shared" si="3"/>
        <v>30</v>
      </c>
      <c r="B36" s="84" t="s">
        <v>1469</v>
      </c>
      <c r="C36" s="85" t="s">
        <v>172</v>
      </c>
      <c r="D36" s="86" t="s">
        <v>1471</v>
      </c>
      <c r="E36" s="87" t="s">
        <v>592</v>
      </c>
      <c r="F36" s="87" t="s">
        <v>541</v>
      </c>
      <c r="G36" s="91" t="s">
        <v>2402</v>
      </c>
      <c r="H36" s="89"/>
      <c r="I36" s="25"/>
      <c r="J36" s="112" t="s">
        <v>2401</v>
      </c>
      <c r="K36" s="48">
        <v>2</v>
      </c>
      <c r="L36" s="8" t="str">
        <f t="shared" ref="L36:L43" si="4">PROPER(C36)</f>
        <v>Phú</v>
      </c>
    </row>
    <row r="37" spans="1:12" s="8" customFormat="1" ht="20.25" customHeight="1">
      <c r="A37" s="9">
        <f t="shared" si="3"/>
        <v>31</v>
      </c>
      <c r="B37" s="84" t="s">
        <v>522</v>
      </c>
      <c r="C37" s="85" t="s">
        <v>532</v>
      </c>
      <c r="D37" s="86">
        <v>39661</v>
      </c>
      <c r="E37" s="87" t="s">
        <v>554</v>
      </c>
      <c r="F37" s="87" t="s">
        <v>544</v>
      </c>
      <c r="G37" s="90" t="s">
        <v>555</v>
      </c>
      <c r="H37" s="89"/>
      <c r="I37" s="25"/>
      <c r="J37" s="112" t="s">
        <v>2204</v>
      </c>
      <c r="K37" s="48">
        <v>2</v>
      </c>
      <c r="L37" s="8" t="str">
        <f t="shared" si="4"/>
        <v>Phước</v>
      </c>
    </row>
    <row r="38" spans="1:12" s="8" customFormat="1" ht="20.25" customHeight="1">
      <c r="A38" s="9">
        <f t="shared" si="3"/>
        <v>32</v>
      </c>
      <c r="B38" s="84" t="s">
        <v>1545</v>
      </c>
      <c r="C38" s="85" t="s">
        <v>97</v>
      </c>
      <c r="D38" s="86" t="s">
        <v>1530</v>
      </c>
      <c r="E38" s="87" t="s">
        <v>711</v>
      </c>
      <c r="F38" s="87" t="s">
        <v>541</v>
      </c>
      <c r="G38" s="91" t="s">
        <v>2414</v>
      </c>
      <c r="H38" s="89"/>
      <c r="I38" s="25" t="s">
        <v>1516</v>
      </c>
      <c r="J38" s="112" t="s">
        <v>2415</v>
      </c>
      <c r="K38" s="48" t="str">
        <f t="shared" ref="K38:K43" si="5">PROPER(B38)</f>
        <v>Đặng Nguyễn Minh</v>
      </c>
      <c r="L38" s="8" t="str">
        <f t="shared" si="4"/>
        <v>Phương</v>
      </c>
    </row>
    <row r="39" spans="1:12" s="8" customFormat="1" ht="20.25" customHeight="1">
      <c r="A39" s="9">
        <f t="shared" si="3"/>
        <v>33</v>
      </c>
      <c r="B39" s="84" t="s">
        <v>199</v>
      </c>
      <c r="C39" s="85" t="s">
        <v>31</v>
      </c>
      <c r="D39" s="86">
        <v>39181</v>
      </c>
      <c r="E39" s="87" t="s">
        <v>954</v>
      </c>
      <c r="F39" s="87" t="s">
        <v>553</v>
      </c>
      <c r="G39" s="90" t="s">
        <v>955</v>
      </c>
      <c r="H39" s="89"/>
      <c r="I39" s="25" t="s">
        <v>1792</v>
      </c>
      <c r="J39" s="112" t="s">
        <v>2204</v>
      </c>
      <c r="K39" s="48" t="str">
        <f t="shared" si="5"/>
        <v xml:space="preserve">Hứa Ngọc </v>
      </c>
      <c r="L39" s="8" t="str">
        <f t="shared" si="4"/>
        <v>Thanh</v>
      </c>
    </row>
    <row r="40" spans="1:12" s="8" customFormat="1" ht="20.25" customHeight="1">
      <c r="A40" s="9">
        <f t="shared" si="3"/>
        <v>34</v>
      </c>
      <c r="B40" s="84" t="s">
        <v>1547</v>
      </c>
      <c r="C40" s="85" t="s">
        <v>31</v>
      </c>
      <c r="D40" s="86" t="s">
        <v>1533</v>
      </c>
      <c r="E40" s="87" t="s">
        <v>1008</v>
      </c>
      <c r="F40" s="87" t="s">
        <v>573</v>
      </c>
      <c r="G40" s="90">
        <v>835202805</v>
      </c>
      <c r="H40" s="89" t="s">
        <v>1925</v>
      </c>
      <c r="I40" s="25" t="s">
        <v>1516</v>
      </c>
      <c r="J40" s="112" t="s">
        <v>2314</v>
      </c>
      <c r="K40" s="48" t="str">
        <f t="shared" si="5"/>
        <v>Phạm Nhật</v>
      </c>
      <c r="L40" s="8" t="str">
        <f t="shared" si="4"/>
        <v>Thanh</v>
      </c>
    </row>
    <row r="41" spans="1:12" s="8" customFormat="1" ht="20.25" customHeight="1">
      <c r="A41" s="9">
        <f t="shared" si="3"/>
        <v>35</v>
      </c>
      <c r="B41" s="84" t="s">
        <v>1608</v>
      </c>
      <c r="C41" s="85" t="s">
        <v>252</v>
      </c>
      <c r="D41" s="86">
        <v>39673</v>
      </c>
      <c r="E41" s="87" t="s">
        <v>2420</v>
      </c>
      <c r="F41" s="87" t="s">
        <v>556</v>
      </c>
      <c r="G41" s="90" t="s">
        <v>2421</v>
      </c>
      <c r="H41" s="89"/>
      <c r="I41" s="25" t="s">
        <v>1610</v>
      </c>
      <c r="J41" s="112" t="s">
        <v>2204</v>
      </c>
      <c r="K41" s="48" t="str">
        <f t="shared" si="5"/>
        <v>Hồ Đình Anh</v>
      </c>
      <c r="L41" s="8" t="str">
        <f t="shared" si="4"/>
        <v>Tú</v>
      </c>
    </row>
    <row r="42" spans="1:12" s="8" customFormat="1" ht="20.25" customHeight="1">
      <c r="A42" s="9">
        <f t="shared" si="3"/>
        <v>36</v>
      </c>
      <c r="B42" s="84" t="s">
        <v>2530</v>
      </c>
      <c r="C42" s="85" t="s">
        <v>1278</v>
      </c>
      <c r="D42" s="86">
        <v>39775</v>
      </c>
      <c r="E42" s="87" t="s">
        <v>2720</v>
      </c>
      <c r="F42" s="87" t="s">
        <v>556</v>
      </c>
      <c r="G42" s="91" t="s">
        <v>2719</v>
      </c>
      <c r="H42" s="89"/>
      <c r="I42" s="25" t="s">
        <v>2531</v>
      </c>
      <c r="J42" s="112" t="s">
        <v>2204</v>
      </c>
      <c r="K42" s="48" t="str">
        <f t="shared" si="5"/>
        <v>Bùi Lê Anh</v>
      </c>
      <c r="L42" s="8" t="str">
        <f t="shared" si="4"/>
        <v>Tuấn</v>
      </c>
    </row>
    <row r="43" spans="1:12" s="8" customFormat="1" ht="20.25" customHeight="1">
      <c r="A43" s="9">
        <f t="shared" si="3"/>
        <v>37</v>
      </c>
      <c r="B43" s="84" t="s">
        <v>2641</v>
      </c>
      <c r="C43" s="85" t="s">
        <v>118</v>
      </c>
      <c r="D43" s="86" t="s">
        <v>2642</v>
      </c>
      <c r="E43" s="87" t="s">
        <v>614</v>
      </c>
      <c r="F43" s="87" t="s">
        <v>573</v>
      </c>
      <c r="G43" s="91" t="s">
        <v>2721</v>
      </c>
      <c r="H43" s="89"/>
      <c r="I43" s="25" t="s">
        <v>2640</v>
      </c>
      <c r="J43" s="112" t="s">
        <v>2204</v>
      </c>
      <c r="K43" s="48" t="str">
        <f t="shared" si="5"/>
        <v>Hoàng Trung</v>
      </c>
      <c r="L43" s="8" t="str">
        <f t="shared" si="4"/>
        <v>Thành</v>
      </c>
    </row>
    <row r="44" spans="1:12" s="8" customFormat="1" ht="20.25" customHeight="1">
      <c r="A44" s="9">
        <f t="shared" si="3"/>
        <v>38</v>
      </c>
      <c r="B44" s="84" t="s">
        <v>1864</v>
      </c>
      <c r="C44" s="85" t="s">
        <v>27</v>
      </c>
      <c r="D44" s="86" t="s">
        <v>1870</v>
      </c>
      <c r="E44" s="87" t="s">
        <v>624</v>
      </c>
      <c r="F44" s="87" t="s">
        <v>541</v>
      </c>
      <c r="G44" s="91" t="s">
        <v>2450</v>
      </c>
      <c r="H44" s="89" t="s">
        <v>1925</v>
      </c>
      <c r="I44" s="25" t="s">
        <v>1862</v>
      </c>
      <c r="J44" s="112" t="s">
        <v>2204</v>
      </c>
      <c r="K44" s="48" t="e">
        <f>PROPER(#REF!)</f>
        <v>#REF!</v>
      </c>
      <c r="L44" s="8" t="e">
        <f>PROPER(#REF!)</f>
        <v>#REF!</v>
      </c>
    </row>
    <row r="45" spans="1:12" s="8" customFormat="1" ht="20.25" customHeight="1">
      <c r="A45" s="9">
        <f t="shared" si="3"/>
        <v>39</v>
      </c>
      <c r="B45" s="84" t="s">
        <v>2763</v>
      </c>
      <c r="C45" s="85" t="s">
        <v>208</v>
      </c>
      <c r="D45" s="86" t="s">
        <v>2764</v>
      </c>
      <c r="E45" s="87" t="s">
        <v>2815</v>
      </c>
      <c r="F45" s="87" t="s">
        <v>541</v>
      </c>
      <c r="G45" s="91" t="s">
        <v>2816</v>
      </c>
      <c r="H45" s="89"/>
      <c r="I45" s="25" t="s">
        <v>2759</v>
      </c>
      <c r="J45" s="112" t="s">
        <v>2204</v>
      </c>
      <c r="K45" s="48" t="str">
        <f>PROPER(B45)</f>
        <v>Trần Nguyễn Phúc</v>
      </c>
      <c r="L45" s="8" t="str">
        <f>PROPER(C45)</f>
        <v>Lâm</v>
      </c>
    </row>
    <row r="46" spans="1:12" s="8" customFormat="1" ht="20.25" customHeight="1">
      <c r="A46" s="9">
        <f t="shared" si="3"/>
        <v>40</v>
      </c>
      <c r="B46" s="84" t="s">
        <v>3047</v>
      </c>
      <c r="C46" s="85" t="s">
        <v>9</v>
      </c>
      <c r="D46" s="86" t="s">
        <v>2109</v>
      </c>
      <c r="E46" s="87" t="s">
        <v>1376</v>
      </c>
      <c r="F46" s="87" t="s">
        <v>556</v>
      </c>
      <c r="G46" s="91" t="s">
        <v>3092</v>
      </c>
      <c r="H46" s="89"/>
      <c r="I46" s="25" t="s">
        <v>3048</v>
      </c>
      <c r="J46" s="112" t="s">
        <v>2293</v>
      </c>
      <c r="K46" s="48" t="str">
        <f t="shared" ref="K46:K52" si="6">PROPER(B46)</f>
        <v>Nguyễn Viết</v>
      </c>
      <c r="L46" s="8" t="str">
        <f t="shared" ref="L46:L52" si="7">PROPER(C46)</f>
        <v>Nam</v>
      </c>
    </row>
    <row r="47" spans="1:12" s="8" customFormat="1" ht="20.25" customHeight="1">
      <c r="A47" s="9">
        <f t="shared" si="3"/>
        <v>41</v>
      </c>
      <c r="B47" s="84" t="s">
        <v>3027</v>
      </c>
      <c r="C47" s="85" t="s">
        <v>17</v>
      </c>
      <c r="D47" s="86" t="s">
        <v>2071</v>
      </c>
      <c r="E47" s="87" t="s">
        <v>750</v>
      </c>
      <c r="F47" s="87" t="s">
        <v>541</v>
      </c>
      <c r="G47" s="91" t="s">
        <v>3094</v>
      </c>
      <c r="H47" s="141" t="s">
        <v>3049</v>
      </c>
      <c r="I47" s="25" t="s">
        <v>3048</v>
      </c>
      <c r="J47" s="117" t="s">
        <v>3365</v>
      </c>
      <c r="K47" s="48" t="str">
        <f t="shared" si="6"/>
        <v>Nguyễn Huy</v>
      </c>
      <c r="L47" s="8" t="str">
        <f t="shared" si="7"/>
        <v>Hoàng</v>
      </c>
    </row>
    <row r="48" spans="1:12" s="8" customFormat="1" ht="20.25" customHeight="1">
      <c r="A48" s="9">
        <f t="shared" si="3"/>
        <v>42</v>
      </c>
      <c r="B48" s="84" t="s">
        <v>1232</v>
      </c>
      <c r="C48" s="85" t="s">
        <v>106</v>
      </c>
      <c r="D48" s="86" t="s">
        <v>3287</v>
      </c>
      <c r="E48" s="87" t="s">
        <v>3263</v>
      </c>
      <c r="F48" s="87" t="s">
        <v>556</v>
      </c>
      <c r="G48" s="91" t="s">
        <v>3291</v>
      </c>
      <c r="H48" s="89"/>
      <c r="I48" s="25" t="s">
        <v>3290</v>
      </c>
      <c r="J48" s="112" t="s">
        <v>2204</v>
      </c>
      <c r="K48" s="48" t="str">
        <f t="shared" si="6"/>
        <v>Phan Văn</v>
      </c>
      <c r="L48" s="8" t="str">
        <f t="shared" si="7"/>
        <v>Trọng</v>
      </c>
    </row>
    <row r="49" spans="1:12" s="8" customFormat="1" ht="20.25" customHeight="1">
      <c r="A49" s="9">
        <f t="shared" si="3"/>
        <v>43</v>
      </c>
      <c r="B49" s="84" t="s">
        <v>3285</v>
      </c>
      <c r="C49" s="85" t="s">
        <v>1112</v>
      </c>
      <c r="D49" s="86" t="s">
        <v>3288</v>
      </c>
      <c r="E49" s="87" t="s">
        <v>3292</v>
      </c>
      <c r="F49" s="87" t="s">
        <v>556</v>
      </c>
      <c r="G49" s="91" t="s">
        <v>3293</v>
      </c>
      <c r="H49" s="89"/>
      <c r="I49" s="25" t="s">
        <v>3290</v>
      </c>
      <c r="J49" s="112" t="s">
        <v>2204</v>
      </c>
      <c r="K49" s="48" t="str">
        <f t="shared" si="6"/>
        <v>Phạm Lê</v>
      </c>
      <c r="L49" s="8" t="str">
        <f t="shared" si="7"/>
        <v>Dương</v>
      </c>
    </row>
    <row r="50" spans="1:12" s="8" customFormat="1" ht="20.25" customHeight="1">
      <c r="A50" s="9">
        <f t="shared" si="3"/>
        <v>44</v>
      </c>
      <c r="B50" s="84" t="s">
        <v>3286</v>
      </c>
      <c r="C50" s="85" t="s">
        <v>145</v>
      </c>
      <c r="D50" s="86" t="s">
        <v>3289</v>
      </c>
      <c r="E50" s="87" t="s">
        <v>3294</v>
      </c>
      <c r="F50" s="87" t="s">
        <v>541</v>
      </c>
      <c r="G50" s="91" t="s">
        <v>3295</v>
      </c>
      <c r="H50" s="89"/>
      <c r="I50" s="25" t="s">
        <v>3290</v>
      </c>
      <c r="J50" s="112" t="s">
        <v>2204</v>
      </c>
      <c r="K50" s="48" t="str">
        <f t="shared" si="6"/>
        <v>Zơrâm Quốc</v>
      </c>
      <c r="L50" s="8" t="str">
        <f t="shared" si="7"/>
        <v>Khánh</v>
      </c>
    </row>
    <row r="51" spans="1:12" s="8" customFormat="1" ht="20.25" customHeight="1">
      <c r="A51" s="9">
        <f t="shared" si="3"/>
        <v>45</v>
      </c>
      <c r="B51" s="84" t="s">
        <v>1951</v>
      </c>
      <c r="C51" s="85" t="s">
        <v>1210</v>
      </c>
      <c r="D51" s="86">
        <v>39229</v>
      </c>
      <c r="E51" s="87" t="s">
        <v>554</v>
      </c>
      <c r="F51" s="87" t="s">
        <v>544</v>
      </c>
      <c r="G51" s="91" t="s">
        <v>3492</v>
      </c>
      <c r="H51" s="89" t="s">
        <v>3494</v>
      </c>
      <c r="I51" s="25" t="s">
        <v>3493</v>
      </c>
      <c r="J51" s="112" t="s">
        <v>2207</v>
      </c>
      <c r="K51" s="48" t="str">
        <f t="shared" si="6"/>
        <v>Bùi Quang</v>
      </c>
      <c r="L51" s="8" t="str">
        <f t="shared" si="7"/>
        <v>Sáng</v>
      </c>
    </row>
    <row r="52" spans="1:12" s="8" customFormat="1" ht="20.25" customHeight="1">
      <c r="A52" s="9">
        <f t="shared" si="3"/>
        <v>46</v>
      </c>
      <c r="B52" s="84" t="s">
        <v>3537</v>
      </c>
      <c r="C52" s="85" t="s">
        <v>128</v>
      </c>
      <c r="D52" s="86">
        <v>38246</v>
      </c>
      <c r="E52" s="87"/>
      <c r="F52" s="87"/>
      <c r="G52" s="91"/>
      <c r="H52" s="89"/>
      <c r="I52" s="25" t="s">
        <v>3535</v>
      </c>
      <c r="J52" s="112" t="s">
        <v>2221</v>
      </c>
      <c r="K52" s="48" t="str">
        <f t="shared" si="6"/>
        <v>Nguyễn Mạnh</v>
      </c>
      <c r="L52" s="8" t="str">
        <f t="shared" si="7"/>
        <v>Huy</v>
      </c>
    </row>
  </sheetData>
  <sortState ref="B7:J41">
    <sortCondition ref="C7:C41"/>
  </sortState>
  <mergeCells count="8">
    <mergeCell ref="B6:C6"/>
    <mergeCell ref="E6:F6"/>
    <mergeCell ref="A1:D1"/>
    <mergeCell ref="E1:H1"/>
    <mergeCell ref="A2:D2"/>
    <mergeCell ref="E2:H2"/>
    <mergeCell ref="A4:H4"/>
    <mergeCell ref="A5:H5"/>
  </mergeCells>
  <pageMargins left="0.35" right="0.2" top="0.75" bottom="0.36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43" workbookViewId="0">
      <selection activeCell="J52" sqref="J52"/>
    </sheetView>
  </sheetViews>
  <sheetFormatPr defaultRowHeight="15"/>
  <cols>
    <col min="1" max="1" width="5.28515625" style="1" customWidth="1"/>
    <col min="2" max="2" width="21.5703125" style="1" customWidth="1"/>
    <col min="3" max="3" width="8" style="1" customWidth="1"/>
    <col min="4" max="4" width="10.28515625" style="1" customWidth="1"/>
    <col min="5" max="5" width="17" style="42" customWidth="1"/>
    <col min="6" max="6" width="14.5703125" style="42" customWidth="1"/>
    <col min="7" max="7" width="21.140625" style="1" customWidth="1"/>
    <col min="8" max="8" width="12.140625" style="1" customWidth="1"/>
    <col min="9" max="9" width="19.28515625" style="1" customWidth="1"/>
    <col min="10" max="10" width="24.140625" style="1" customWidth="1"/>
    <col min="11" max="11" width="18.28515625" style="42" customWidth="1"/>
    <col min="12" max="16384" width="9.140625" style="1"/>
  </cols>
  <sheetData>
    <row r="1" spans="1:11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</row>
    <row r="2" spans="1:11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</row>
    <row r="3" spans="1:11" ht="15.75" customHeight="1">
      <c r="A3" s="2"/>
      <c r="B3" s="3"/>
      <c r="C3" s="3"/>
      <c r="D3" s="3"/>
    </row>
    <row r="4" spans="1:11" ht="15.75" customHeight="1">
      <c r="A4" s="308" t="s">
        <v>10</v>
      </c>
      <c r="B4" s="308"/>
      <c r="C4" s="308"/>
      <c r="D4" s="308"/>
      <c r="E4" s="308"/>
      <c r="F4" s="308"/>
      <c r="G4" s="308"/>
      <c r="H4" s="308"/>
    </row>
    <row r="5" spans="1:11" s="4" customFormat="1" ht="23.25" customHeight="1">
      <c r="A5" s="309" t="s">
        <v>1786</v>
      </c>
      <c r="B5" s="309"/>
      <c r="C5" s="309"/>
      <c r="D5" s="309"/>
      <c r="E5" s="309"/>
      <c r="F5" s="309"/>
      <c r="G5" s="309"/>
      <c r="H5" s="309"/>
      <c r="K5" s="47"/>
    </row>
    <row r="6" spans="1:11" s="8" customFormat="1" ht="45.75" customHeight="1">
      <c r="A6" s="7" t="s">
        <v>4</v>
      </c>
      <c r="B6" s="310" t="s">
        <v>5</v>
      </c>
      <c r="C6" s="311"/>
      <c r="D6" s="20" t="s">
        <v>6</v>
      </c>
      <c r="E6" s="304" t="s">
        <v>11</v>
      </c>
      <c r="F6" s="305"/>
      <c r="G6" s="20" t="s">
        <v>226</v>
      </c>
      <c r="H6" s="7" t="s">
        <v>7</v>
      </c>
      <c r="I6" s="7" t="s">
        <v>1630</v>
      </c>
      <c r="J6" s="5" t="s">
        <v>2329</v>
      </c>
      <c r="K6" s="48"/>
    </row>
    <row r="7" spans="1:11" s="8" customFormat="1" ht="20.25" customHeight="1">
      <c r="A7" s="9">
        <f t="shared" ref="A7:A52" si="0">ROW()-6</f>
        <v>1</v>
      </c>
      <c r="B7" s="84" t="s">
        <v>1536</v>
      </c>
      <c r="C7" s="85" t="s">
        <v>70</v>
      </c>
      <c r="D7" s="86" t="s">
        <v>1524</v>
      </c>
      <c r="E7" s="87" t="s">
        <v>1703</v>
      </c>
      <c r="F7" s="87" t="s">
        <v>565</v>
      </c>
      <c r="G7" s="91" t="s">
        <v>2426</v>
      </c>
      <c r="H7" s="89"/>
      <c r="I7" s="25" t="s">
        <v>1516</v>
      </c>
      <c r="J7" s="118" t="s">
        <v>2204</v>
      </c>
      <c r="K7" s="48"/>
    </row>
    <row r="8" spans="1:11" s="8" customFormat="1" ht="20.25" customHeight="1">
      <c r="A8" s="9">
        <f t="shared" si="0"/>
        <v>2</v>
      </c>
      <c r="B8" s="84" t="s">
        <v>1082</v>
      </c>
      <c r="C8" s="85" t="s">
        <v>70</v>
      </c>
      <c r="D8" s="86">
        <v>39150</v>
      </c>
      <c r="E8" s="87" t="s">
        <v>550</v>
      </c>
      <c r="F8" s="87" t="s">
        <v>549</v>
      </c>
      <c r="G8" s="90" t="s">
        <v>551</v>
      </c>
      <c r="H8" s="25" t="s">
        <v>1791</v>
      </c>
      <c r="I8" s="25"/>
      <c r="J8" s="118" t="s">
        <v>2331</v>
      </c>
      <c r="K8" s="48"/>
    </row>
    <row r="9" spans="1:11" s="8" customFormat="1" ht="20.25" customHeight="1">
      <c r="A9" s="9">
        <f t="shared" si="0"/>
        <v>3</v>
      </c>
      <c r="B9" s="84" t="s">
        <v>109</v>
      </c>
      <c r="C9" s="85" t="s">
        <v>70</v>
      </c>
      <c r="D9" s="86">
        <v>39559</v>
      </c>
      <c r="E9" s="87" t="s">
        <v>659</v>
      </c>
      <c r="F9" s="87" t="s">
        <v>544</v>
      </c>
      <c r="G9" s="90" t="s">
        <v>956</v>
      </c>
      <c r="H9" s="89"/>
      <c r="I9" s="25"/>
      <c r="J9" s="118" t="s">
        <v>2331</v>
      </c>
      <c r="K9" s="48"/>
    </row>
    <row r="10" spans="1:11" s="8" customFormat="1" ht="20.25" customHeight="1">
      <c r="A10" s="9">
        <f t="shared" si="0"/>
        <v>4</v>
      </c>
      <c r="B10" s="84" t="s">
        <v>1722</v>
      </c>
      <c r="C10" s="85" t="s">
        <v>1135</v>
      </c>
      <c r="D10" s="86">
        <v>39770</v>
      </c>
      <c r="E10" s="87" t="s">
        <v>714</v>
      </c>
      <c r="F10" s="87" t="s">
        <v>541</v>
      </c>
      <c r="G10" s="91" t="s">
        <v>2446</v>
      </c>
      <c r="H10" s="89"/>
      <c r="I10" s="25" t="s">
        <v>1721</v>
      </c>
      <c r="J10" s="118" t="s">
        <v>2204</v>
      </c>
      <c r="K10" s="48"/>
    </row>
    <row r="11" spans="1:11" s="8" customFormat="1" ht="20.25" customHeight="1">
      <c r="A11" s="9">
        <f t="shared" si="0"/>
        <v>5</v>
      </c>
      <c r="B11" s="84" t="s">
        <v>1609</v>
      </c>
      <c r="C11" s="85" t="s">
        <v>25</v>
      </c>
      <c r="D11" s="86" t="s">
        <v>1089</v>
      </c>
      <c r="E11" s="87" t="s">
        <v>885</v>
      </c>
      <c r="F11" s="87" t="s">
        <v>541</v>
      </c>
      <c r="G11" s="91" t="s">
        <v>2445</v>
      </c>
      <c r="H11" s="89"/>
      <c r="I11" s="25" t="s">
        <v>1610</v>
      </c>
      <c r="J11" s="118" t="s">
        <v>2204</v>
      </c>
      <c r="K11" s="48"/>
    </row>
    <row r="12" spans="1:11" s="8" customFormat="1" ht="20.25" customHeight="1">
      <c r="A12" s="9">
        <f t="shared" si="0"/>
        <v>6</v>
      </c>
      <c r="B12" s="84" t="s">
        <v>193</v>
      </c>
      <c r="C12" s="85" t="s">
        <v>66</v>
      </c>
      <c r="D12" s="86">
        <v>39470</v>
      </c>
      <c r="E12" s="87" t="s">
        <v>603</v>
      </c>
      <c r="F12" s="87" t="s">
        <v>541</v>
      </c>
      <c r="G12" s="90" t="s">
        <v>847</v>
      </c>
      <c r="H12" s="89"/>
      <c r="I12" s="25"/>
      <c r="J12" s="118" t="s">
        <v>2204</v>
      </c>
      <c r="K12" s="48"/>
    </row>
    <row r="13" spans="1:11" s="8" customFormat="1" ht="20.25" customHeight="1">
      <c r="A13" s="9">
        <f t="shared" si="0"/>
        <v>7</v>
      </c>
      <c r="B13" s="84" t="s">
        <v>1205</v>
      </c>
      <c r="C13" s="85" t="s">
        <v>66</v>
      </c>
      <c r="D13" s="86">
        <v>39601</v>
      </c>
      <c r="E13" s="87" t="s">
        <v>781</v>
      </c>
      <c r="F13" s="87" t="s">
        <v>556</v>
      </c>
      <c r="G13" s="91" t="s">
        <v>2429</v>
      </c>
      <c r="H13" s="89"/>
      <c r="I13" s="25"/>
      <c r="J13" s="118" t="s">
        <v>2204</v>
      </c>
      <c r="K13" s="48"/>
    </row>
    <row r="14" spans="1:11" s="8" customFormat="1" ht="20.25" customHeight="1">
      <c r="A14" s="9">
        <f t="shared" si="0"/>
        <v>8</v>
      </c>
      <c r="B14" s="84" t="s">
        <v>1081</v>
      </c>
      <c r="C14" s="85" t="s">
        <v>27</v>
      </c>
      <c r="D14" s="86">
        <v>39547</v>
      </c>
      <c r="E14" s="87" t="s">
        <v>547</v>
      </c>
      <c r="F14" s="87" t="s">
        <v>541</v>
      </c>
      <c r="G14" s="90" t="s">
        <v>548</v>
      </c>
      <c r="H14" s="89"/>
      <c r="I14" s="25"/>
      <c r="J14" s="118" t="s">
        <v>2204</v>
      </c>
      <c r="K14" s="48"/>
    </row>
    <row r="15" spans="1:11" s="8" customFormat="1" ht="20.25" customHeight="1">
      <c r="A15" s="9">
        <f t="shared" si="0"/>
        <v>9</v>
      </c>
      <c r="B15" s="84" t="s">
        <v>218</v>
      </c>
      <c r="C15" s="85" t="s">
        <v>27</v>
      </c>
      <c r="D15" s="86">
        <v>39452</v>
      </c>
      <c r="E15" s="87" t="s">
        <v>752</v>
      </c>
      <c r="F15" s="87" t="s">
        <v>556</v>
      </c>
      <c r="G15" s="90" t="s">
        <v>1064</v>
      </c>
      <c r="H15" s="89"/>
      <c r="I15" s="25"/>
      <c r="J15" s="118" t="s">
        <v>2204</v>
      </c>
      <c r="K15" s="48"/>
    </row>
    <row r="16" spans="1:11" s="8" customFormat="1" ht="20.25" customHeight="1">
      <c r="A16" s="9">
        <f t="shared" si="0"/>
        <v>10</v>
      </c>
      <c r="B16" s="84" t="s">
        <v>1798</v>
      </c>
      <c r="C16" s="85" t="s">
        <v>137</v>
      </c>
      <c r="D16" s="86" t="s">
        <v>1801</v>
      </c>
      <c r="E16" s="87" t="s">
        <v>2455</v>
      </c>
      <c r="F16" s="87" t="s">
        <v>573</v>
      </c>
      <c r="G16" s="90">
        <v>392036643</v>
      </c>
      <c r="H16" s="89"/>
      <c r="I16" s="25" t="s">
        <v>1804</v>
      </c>
      <c r="J16" s="25" t="s">
        <v>2204</v>
      </c>
      <c r="K16" s="48"/>
    </row>
    <row r="17" spans="1:11" s="8" customFormat="1" ht="20.25" customHeight="1">
      <c r="A17" s="9">
        <f t="shared" si="0"/>
        <v>11</v>
      </c>
      <c r="B17" s="84" t="s">
        <v>1541</v>
      </c>
      <c r="C17" s="85" t="s">
        <v>128</v>
      </c>
      <c r="D17" s="86" t="s">
        <v>1242</v>
      </c>
      <c r="E17" s="87" t="s">
        <v>2443</v>
      </c>
      <c r="F17" s="87" t="s">
        <v>556</v>
      </c>
      <c r="G17" s="91" t="s">
        <v>2444</v>
      </c>
      <c r="H17" s="89"/>
      <c r="I17" s="25" t="s">
        <v>1516</v>
      </c>
      <c r="J17" s="118" t="s">
        <v>2204</v>
      </c>
      <c r="K17" s="48"/>
    </row>
    <row r="18" spans="1:11" s="8" customFormat="1" ht="20.25" customHeight="1">
      <c r="A18" s="9">
        <f t="shared" si="0"/>
        <v>12</v>
      </c>
      <c r="B18" s="84" t="s">
        <v>1211</v>
      </c>
      <c r="C18" s="85" t="s">
        <v>58</v>
      </c>
      <c r="D18" s="86" t="s">
        <v>1201</v>
      </c>
      <c r="E18" s="87" t="s">
        <v>848</v>
      </c>
      <c r="F18" s="87" t="s">
        <v>544</v>
      </c>
      <c r="G18" s="91" t="s">
        <v>2432</v>
      </c>
      <c r="H18" s="89"/>
      <c r="I18" s="25"/>
      <c r="J18" s="118" t="s">
        <v>2204</v>
      </c>
      <c r="K18" s="48"/>
    </row>
    <row r="19" spans="1:11" s="8" customFormat="1" ht="20.25" customHeight="1">
      <c r="A19" s="9">
        <f t="shared" si="0"/>
        <v>13</v>
      </c>
      <c r="B19" s="84" t="s">
        <v>1470</v>
      </c>
      <c r="C19" s="85" t="s">
        <v>58</v>
      </c>
      <c r="D19" s="86" t="s">
        <v>1472</v>
      </c>
      <c r="E19" s="87" t="s">
        <v>579</v>
      </c>
      <c r="F19" s="87" t="s">
        <v>541</v>
      </c>
      <c r="G19" s="91" t="s">
        <v>2427</v>
      </c>
      <c r="H19" s="89"/>
      <c r="I19" s="25"/>
      <c r="J19" s="118" t="s">
        <v>2428</v>
      </c>
      <c r="K19" s="48"/>
    </row>
    <row r="20" spans="1:11" s="8" customFormat="1" ht="20.25" customHeight="1">
      <c r="A20" s="9">
        <f t="shared" si="0"/>
        <v>14</v>
      </c>
      <c r="B20" s="84" t="s">
        <v>534</v>
      </c>
      <c r="C20" s="85" t="s">
        <v>83</v>
      </c>
      <c r="D20" s="86" t="s">
        <v>1802</v>
      </c>
      <c r="E20" s="87" t="s">
        <v>725</v>
      </c>
      <c r="F20" s="87" t="s">
        <v>541</v>
      </c>
      <c r="G20" s="91" t="s">
        <v>2458</v>
      </c>
      <c r="H20" s="89"/>
      <c r="I20" s="25" t="s">
        <v>1804</v>
      </c>
      <c r="J20" s="118" t="s">
        <v>2215</v>
      </c>
      <c r="K20" s="48"/>
    </row>
    <row r="21" spans="1:11" s="8" customFormat="1" ht="20.25" customHeight="1">
      <c r="A21" s="9">
        <f t="shared" si="0"/>
        <v>15</v>
      </c>
      <c r="B21" s="84" t="s">
        <v>1799</v>
      </c>
      <c r="C21" s="85" t="s">
        <v>90</v>
      </c>
      <c r="D21" s="86" t="s">
        <v>1594</v>
      </c>
      <c r="E21" s="87" t="s">
        <v>800</v>
      </c>
      <c r="F21" s="87" t="s">
        <v>541</v>
      </c>
      <c r="G21" s="91" t="s">
        <v>2456</v>
      </c>
      <c r="H21" s="89"/>
      <c r="I21" s="25" t="s">
        <v>1804</v>
      </c>
      <c r="J21" s="118" t="s">
        <v>2204</v>
      </c>
      <c r="K21" s="48"/>
    </row>
    <row r="22" spans="1:11" s="8" customFormat="1" ht="20.25" customHeight="1">
      <c r="A22" s="9">
        <f t="shared" si="0"/>
        <v>16</v>
      </c>
      <c r="B22" s="84" t="s">
        <v>1078</v>
      </c>
      <c r="C22" s="85" t="s">
        <v>1079</v>
      </c>
      <c r="D22" s="86">
        <v>39678</v>
      </c>
      <c r="E22" s="87" t="s">
        <v>543</v>
      </c>
      <c r="F22" s="87" t="s">
        <v>544</v>
      </c>
      <c r="G22" s="90" t="s">
        <v>545</v>
      </c>
      <c r="H22" s="141" t="s">
        <v>2411</v>
      </c>
      <c r="I22" s="25"/>
      <c r="J22" s="118" t="s">
        <v>2204</v>
      </c>
      <c r="K22" s="48"/>
    </row>
    <row r="23" spans="1:11" s="8" customFormat="1" ht="20.25" customHeight="1">
      <c r="A23" s="9">
        <f t="shared" si="0"/>
        <v>17</v>
      </c>
      <c r="B23" s="84" t="s">
        <v>174</v>
      </c>
      <c r="C23" s="85" t="s">
        <v>201</v>
      </c>
      <c r="D23" s="86">
        <v>39430</v>
      </c>
      <c r="E23" s="87" t="s">
        <v>828</v>
      </c>
      <c r="F23" s="87" t="s">
        <v>544</v>
      </c>
      <c r="G23" s="90" t="s">
        <v>829</v>
      </c>
      <c r="H23" s="89"/>
      <c r="I23" s="25" t="s">
        <v>2332</v>
      </c>
      <c r="J23" s="118" t="s">
        <v>2204</v>
      </c>
      <c r="K23" s="48"/>
    </row>
    <row r="24" spans="1:11" s="8" customFormat="1" ht="20.25" customHeight="1">
      <c r="A24" s="9">
        <f t="shared" si="0"/>
        <v>18</v>
      </c>
      <c r="B24" s="84" t="s">
        <v>187</v>
      </c>
      <c r="C24" s="85" t="s">
        <v>64</v>
      </c>
      <c r="D24" s="86">
        <v>39726</v>
      </c>
      <c r="E24" s="87" t="s">
        <v>586</v>
      </c>
      <c r="F24" s="87" t="s">
        <v>556</v>
      </c>
      <c r="G24" s="91" t="s">
        <v>2722</v>
      </c>
      <c r="H24" s="89"/>
      <c r="I24" s="25"/>
      <c r="J24" s="118" t="s">
        <v>2207</v>
      </c>
      <c r="K24" s="48"/>
    </row>
    <row r="25" spans="1:11" s="8" customFormat="1" ht="20.25" customHeight="1">
      <c r="A25" s="9">
        <f t="shared" si="0"/>
        <v>19</v>
      </c>
      <c r="B25" s="84" t="s">
        <v>1401</v>
      </c>
      <c r="C25" s="85" t="s">
        <v>418</v>
      </c>
      <c r="D25" s="86" t="s">
        <v>1398</v>
      </c>
      <c r="E25" s="87" t="s">
        <v>2439</v>
      </c>
      <c r="F25" s="87" t="s">
        <v>556</v>
      </c>
      <c r="G25" s="91" t="s">
        <v>2440</v>
      </c>
      <c r="H25" s="89"/>
      <c r="I25" s="25"/>
      <c r="J25" s="118" t="s">
        <v>2204</v>
      </c>
      <c r="K25" s="48"/>
    </row>
    <row r="26" spans="1:11" s="8" customFormat="1" ht="20.25" customHeight="1">
      <c r="A26" s="9">
        <f t="shared" si="0"/>
        <v>20</v>
      </c>
      <c r="B26" s="84" t="s">
        <v>44</v>
      </c>
      <c r="C26" s="85" t="s">
        <v>191</v>
      </c>
      <c r="D26" s="86">
        <v>39508</v>
      </c>
      <c r="E26" s="87" t="s">
        <v>1011</v>
      </c>
      <c r="F26" s="87" t="s">
        <v>556</v>
      </c>
      <c r="G26" s="91" t="s">
        <v>2425</v>
      </c>
      <c r="H26" s="89"/>
      <c r="I26" s="25"/>
      <c r="J26" s="118" t="s">
        <v>2204</v>
      </c>
      <c r="K26" s="48"/>
    </row>
    <row r="27" spans="1:11" s="8" customFormat="1" ht="20.25" customHeight="1">
      <c r="A27" s="9">
        <f t="shared" si="0"/>
        <v>21</v>
      </c>
      <c r="B27" s="84" t="s">
        <v>1451</v>
      </c>
      <c r="C27" s="85" t="s">
        <v>191</v>
      </c>
      <c r="D27" s="86" t="s">
        <v>1657</v>
      </c>
      <c r="E27" s="87" t="s">
        <v>2448</v>
      </c>
      <c r="F27" s="87" t="s">
        <v>573</v>
      </c>
      <c r="G27" s="91" t="s">
        <v>2449</v>
      </c>
      <c r="H27" s="89"/>
      <c r="I27" s="25" t="s">
        <v>1658</v>
      </c>
      <c r="J27" s="118" t="s">
        <v>2204</v>
      </c>
      <c r="K27" s="48"/>
    </row>
    <row r="28" spans="1:11" s="8" customFormat="1" ht="20.25" customHeight="1">
      <c r="A28" s="9">
        <f t="shared" si="0"/>
        <v>22</v>
      </c>
      <c r="B28" s="84" t="s">
        <v>1423</v>
      </c>
      <c r="C28" s="85" t="s">
        <v>1402</v>
      </c>
      <c r="D28" s="86" t="s">
        <v>1445</v>
      </c>
      <c r="E28" s="87" t="s">
        <v>2437</v>
      </c>
      <c r="F28" s="87" t="s">
        <v>544</v>
      </c>
      <c r="G28" s="91" t="s">
        <v>2438</v>
      </c>
      <c r="H28" s="89"/>
      <c r="I28" s="25"/>
      <c r="J28" s="118" t="s">
        <v>2204</v>
      </c>
      <c r="K28" s="48"/>
    </row>
    <row r="29" spans="1:11" s="8" customFormat="1" ht="20.25" customHeight="1">
      <c r="A29" s="9">
        <f t="shared" si="0"/>
        <v>23</v>
      </c>
      <c r="B29" s="84" t="s">
        <v>1133</v>
      </c>
      <c r="C29" s="85" t="s">
        <v>1402</v>
      </c>
      <c r="D29" s="86" t="s">
        <v>1446</v>
      </c>
      <c r="E29" s="87" t="s">
        <v>725</v>
      </c>
      <c r="F29" s="87" t="s">
        <v>541</v>
      </c>
      <c r="G29" s="91" t="s">
        <v>2457</v>
      </c>
      <c r="H29" s="141" t="s">
        <v>2411</v>
      </c>
      <c r="I29" s="25" t="s">
        <v>1862</v>
      </c>
      <c r="J29" s="118" t="s">
        <v>2204</v>
      </c>
      <c r="K29" s="48"/>
    </row>
    <row r="30" spans="1:11" s="8" customFormat="1" ht="20.25" customHeight="1">
      <c r="A30" s="9">
        <f t="shared" si="0"/>
        <v>24</v>
      </c>
      <c r="B30" s="84" t="s">
        <v>1797</v>
      </c>
      <c r="C30" s="85" t="s">
        <v>1421</v>
      </c>
      <c r="D30" s="86" t="s">
        <v>1800</v>
      </c>
      <c r="E30" s="87" t="s">
        <v>547</v>
      </c>
      <c r="F30" s="87" t="s">
        <v>541</v>
      </c>
      <c r="G30" s="91" t="s">
        <v>1906</v>
      </c>
      <c r="H30" s="89"/>
      <c r="I30" s="25" t="s">
        <v>1804</v>
      </c>
      <c r="J30" s="118" t="s">
        <v>2204</v>
      </c>
      <c r="K30" s="48"/>
    </row>
    <row r="31" spans="1:11" s="8" customFormat="1" ht="20.25" customHeight="1">
      <c r="A31" s="9">
        <f t="shared" si="0"/>
        <v>25</v>
      </c>
      <c r="B31" s="84" t="s">
        <v>1863</v>
      </c>
      <c r="C31" s="85" t="s">
        <v>1421</v>
      </c>
      <c r="D31" s="86" t="s">
        <v>1341</v>
      </c>
      <c r="E31" s="87" t="s">
        <v>681</v>
      </c>
      <c r="F31" s="87" t="s">
        <v>544</v>
      </c>
      <c r="G31" s="91" t="s">
        <v>2451</v>
      </c>
      <c r="H31" s="89"/>
      <c r="I31" s="25" t="s">
        <v>1862</v>
      </c>
      <c r="J31" s="118" t="s">
        <v>2452</v>
      </c>
      <c r="K31" s="48"/>
    </row>
    <row r="32" spans="1:11" s="8" customFormat="1" ht="20.25" customHeight="1">
      <c r="A32" s="9">
        <f t="shared" si="0"/>
        <v>26</v>
      </c>
      <c r="B32" s="84" t="s">
        <v>1539</v>
      </c>
      <c r="C32" s="85" t="s">
        <v>1540</v>
      </c>
      <c r="D32" s="86" t="s">
        <v>1526</v>
      </c>
      <c r="E32" s="87" t="s">
        <v>653</v>
      </c>
      <c r="F32" s="87" t="s">
        <v>544</v>
      </c>
      <c r="G32" s="91" t="s">
        <v>2424</v>
      </c>
      <c r="H32" s="89"/>
      <c r="I32" s="25" t="s">
        <v>1516</v>
      </c>
      <c r="J32" s="118" t="s">
        <v>2204</v>
      </c>
      <c r="K32" s="48"/>
    </row>
    <row r="33" spans="1:12" s="8" customFormat="1" ht="20.25" customHeight="1">
      <c r="A33" s="9">
        <f t="shared" si="0"/>
        <v>27</v>
      </c>
      <c r="B33" s="84" t="s">
        <v>1542</v>
      </c>
      <c r="C33" s="85" t="s">
        <v>1543</v>
      </c>
      <c r="D33" s="86" t="s">
        <v>1528</v>
      </c>
      <c r="E33" s="87" t="s">
        <v>2441</v>
      </c>
      <c r="F33" s="87" t="s">
        <v>556</v>
      </c>
      <c r="G33" s="91" t="s">
        <v>2442</v>
      </c>
      <c r="H33" s="89"/>
      <c r="I33" s="25" t="s">
        <v>1516</v>
      </c>
      <c r="J33" s="118" t="s">
        <v>2204</v>
      </c>
      <c r="K33" s="48"/>
    </row>
    <row r="34" spans="1:12" s="8" customFormat="1" ht="20.25" customHeight="1">
      <c r="A34" s="9">
        <f t="shared" si="0"/>
        <v>28</v>
      </c>
      <c r="B34" s="84" t="s">
        <v>192</v>
      </c>
      <c r="C34" s="85" t="s">
        <v>151</v>
      </c>
      <c r="D34" s="86">
        <v>39250</v>
      </c>
      <c r="E34" s="87" t="s">
        <v>1011</v>
      </c>
      <c r="F34" s="87" t="s">
        <v>556</v>
      </c>
      <c r="G34" s="91" t="s">
        <v>3065</v>
      </c>
      <c r="H34" s="89"/>
      <c r="I34" s="25"/>
      <c r="J34" s="118" t="s">
        <v>2204</v>
      </c>
      <c r="K34" s="48"/>
    </row>
    <row r="35" spans="1:12" s="8" customFormat="1" ht="20.25" customHeight="1">
      <c r="A35" s="9">
        <f t="shared" si="0"/>
        <v>29</v>
      </c>
      <c r="B35" s="84" t="s">
        <v>1191</v>
      </c>
      <c r="C35" s="85" t="s">
        <v>151</v>
      </c>
      <c r="D35" s="86" t="s">
        <v>1527</v>
      </c>
      <c r="E35" s="87" t="s">
        <v>653</v>
      </c>
      <c r="F35" s="87" t="s">
        <v>544</v>
      </c>
      <c r="G35" s="91" t="s">
        <v>2423</v>
      </c>
      <c r="H35" s="89"/>
      <c r="I35" s="25" t="s">
        <v>1516</v>
      </c>
      <c r="J35" s="118" t="s">
        <v>2204</v>
      </c>
      <c r="K35" s="48"/>
    </row>
    <row r="36" spans="1:12" s="8" customFormat="1" ht="20.25" customHeight="1">
      <c r="A36" s="9">
        <f t="shared" si="0"/>
        <v>30</v>
      </c>
      <c r="B36" s="84" t="s">
        <v>194</v>
      </c>
      <c r="C36" s="85" t="s">
        <v>195</v>
      </c>
      <c r="D36" s="86">
        <v>39341</v>
      </c>
      <c r="E36" s="87" t="s">
        <v>848</v>
      </c>
      <c r="F36" s="87" t="s">
        <v>544</v>
      </c>
      <c r="G36" s="90" t="s">
        <v>854</v>
      </c>
      <c r="H36" s="89"/>
      <c r="I36" s="25"/>
      <c r="J36" s="118" t="s">
        <v>2204</v>
      </c>
      <c r="K36" s="48"/>
    </row>
    <row r="37" spans="1:12" s="8" customFormat="1" ht="20.25" customHeight="1">
      <c r="A37" s="9">
        <f t="shared" si="0"/>
        <v>31</v>
      </c>
      <c r="B37" s="84" t="s">
        <v>1080</v>
      </c>
      <c r="C37" s="85" t="s">
        <v>195</v>
      </c>
      <c r="D37" s="86">
        <v>39654</v>
      </c>
      <c r="E37" s="87" t="s">
        <v>540</v>
      </c>
      <c r="F37" s="87" t="s">
        <v>541</v>
      </c>
      <c r="G37" s="90" t="s">
        <v>546</v>
      </c>
      <c r="H37" s="89"/>
      <c r="I37" s="25"/>
      <c r="J37" s="118" t="s">
        <v>2204</v>
      </c>
      <c r="K37" s="48" t="str">
        <f>PROPER(B37)</f>
        <v>Nguyễn Lương</v>
      </c>
      <c r="L37" s="8" t="str">
        <f>PROPER(C37)</f>
        <v>Trung</v>
      </c>
    </row>
    <row r="38" spans="1:12" s="8" customFormat="1" ht="20.25" customHeight="1">
      <c r="A38" s="9">
        <f t="shared" si="0"/>
        <v>32</v>
      </c>
      <c r="B38" s="84" t="s">
        <v>1793</v>
      </c>
      <c r="C38" s="85" t="s">
        <v>68</v>
      </c>
      <c r="D38" s="86" t="s">
        <v>1444</v>
      </c>
      <c r="E38" s="87" t="s">
        <v>800</v>
      </c>
      <c r="F38" s="87" t="s">
        <v>541</v>
      </c>
      <c r="G38" s="91" t="s">
        <v>2447</v>
      </c>
      <c r="H38" s="89"/>
      <c r="I38" s="25"/>
      <c r="J38" s="118" t="s">
        <v>2204</v>
      </c>
      <c r="K38" s="48" t="str">
        <f t="shared" ref="K38:K41" si="1">PROPER(B38)</f>
        <v>Bùi Tân</v>
      </c>
      <c r="L38" s="8" t="str">
        <f t="shared" ref="L38:L41" si="2">PROPER(C38)</f>
        <v>Trường</v>
      </c>
    </row>
    <row r="39" spans="1:12" s="8" customFormat="1" ht="20.25" customHeight="1">
      <c r="A39" s="9">
        <f t="shared" si="0"/>
        <v>33</v>
      </c>
      <c r="B39" s="84" t="s">
        <v>1468</v>
      </c>
      <c r="C39" s="85" t="s">
        <v>1278</v>
      </c>
      <c r="D39" s="86" t="s">
        <v>1328</v>
      </c>
      <c r="E39" s="87" t="s">
        <v>2435</v>
      </c>
      <c r="F39" s="87" t="s">
        <v>573</v>
      </c>
      <c r="G39" s="91" t="s">
        <v>2436</v>
      </c>
      <c r="H39" s="89"/>
      <c r="I39" s="25"/>
      <c r="J39" s="118" t="s">
        <v>2204</v>
      </c>
      <c r="K39" s="48" t="str">
        <f t="shared" si="1"/>
        <v>Hồ Anh</v>
      </c>
      <c r="L39" s="8" t="str">
        <f t="shared" si="2"/>
        <v>Tuấn</v>
      </c>
    </row>
    <row r="40" spans="1:12" s="8" customFormat="1" ht="20.25" customHeight="1">
      <c r="A40" s="9">
        <f t="shared" si="0"/>
        <v>34</v>
      </c>
      <c r="B40" s="84" t="s">
        <v>219</v>
      </c>
      <c r="C40" s="85" t="s">
        <v>220</v>
      </c>
      <c r="D40" s="86">
        <v>39552</v>
      </c>
      <c r="E40" s="87" t="s">
        <v>849</v>
      </c>
      <c r="F40" s="87" t="s">
        <v>556</v>
      </c>
      <c r="G40" s="90" t="s">
        <v>852</v>
      </c>
      <c r="H40" s="89"/>
      <c r="I40" s="25"/>
      <c r="J40" s="118" t="s">
        <v>2204</v>
      </c>
      <c r="K40" s="48" t="str">
        <f t="shared" si="1"/>
        <v xml:space="preserve">Hồ Nhật </v>
      </c>
      <c r="L40" s="8" t="str">
        <f t="shared" si="2"/>
        <v>Vĩ</v>
      </c>
    </row>
    <row r="41" spans="1:12" s="8" customFormat="1" ht="20.25" customHeight="1">
      <c r="A41" s="9">
        <f t="shared" si="0"/>
        <v>35</v>
      </c>
      <c r="B41" s="84" t="s">
        <v>1206</v>
      </c>
      <c r="C41" s="85" t="s">
        <v>29</v>
      </c>
      <c r="D41" s="86" t="s">
        <v>1196</v>
      </c>
      <c r="E41" s="87" t="s">
        <v>781</v>
      </c>
      <c r="F41" s="87" t="s">
        <v>556</v>
      </c>
      <c r="G41" s="91" t="s">
        <v>2434</v>
      </c>
      <c r="H41" s="89"/>
      <c r="I41" s="25"/>
      <c r="J41" s="118" t="s">
        <v>2204</v>
      </c>
      <c r="K41" s="48" t="str">
        <f t="shared" si="1"/>
        <v>Ngũ Quốc</v>
      </c>
      <c r="L41" s="8" t="str">
        <f t="shared" si="2"/>
        <v>Việt</v>
      </c>
    </row>
    <row r="42" spans="1:12" s="8" customFormat="1" ht="20.25" customHeight="1">
      <c r="A42" s="9">
        <f t="shared" si="0"/>
        <v>36</v>
      </c>
      <c r="B42" s="84" t="s">
        <v>1207</v>
      </c>
      <c r="C42" s="85" t="s">
        <v>29</v>
      </c>
      <c r="D42" s="86" t="s">
        <v>1197</v>
      </c>
      <c r="E42" s="87" t="s">
        <v>781</v>
      </c>
      <c r="F42" s="87" t="s">
        <v>556</v>
      </c>
      <c r="G42" s="91" t="s">
        <v>2433</v>
      </c>
      <c r="H42" s="25" t="s">
        <v>1794</v>
      </c>
      <c r="I42" s="25"/>
      <c r="J42" s="118" t="s">
        <v>2204</v>
      </c>
      <c r="K42" s="48" t="str">
        <f t="shared" ref="K42:K44" si="3">PROPER(B42)</f>
        <v>Trần Quang</v>
      </c>
      <c r="L42" s="8" t="str">
        <f t="shared" ref="L42:L44" si="4">PROPER(C42)</f>
        <v>Việt</v>
      </c>
    </row>
    <row r="43" spans="1:12" s="8" customFormat="1" ht="20.25" customHeight="1">
      <c r="A43" s="9">
        <f t="shared" si="0"/>
        <v>37</v>
      </c>
      <c r="B43" s="84" t="s">
        <v>210</v>
      </c>
      <c r="C43" s="85" t="s">
        <v>111</v>
      </c>
      <c r="D43" s="86">
        <v>39448</v>
      </c>
      <c r="E43" s="87" t="s">
        <v>848</v>
      </c>
      <c r="F43" s="87" t="s">
        <v>544</v>
      </c>
      <c r="G43" s="90" t="s">
        <v>850</v>
      </c>
      <c r="H43" s="25"/>
      <c r="I43" s="25"/>
      <c r="J43" s="118" t="s">
        <v>2204</v>
      </c>
      <c r="K43" s="48" t="str">
        <f t="shared" si="3"/>
        <v xml:space="preserve">Võ Xuân </v>
      </c>
      <c r="L43" s="8" t="str">
        <f t="shared" si="4"/>
        <v>Vũ</v>
      </c>
    </row>
    <row r="44" spans="1:12" s="8" customFormat="1" ht="20.25" customHeight="1">
      <c r="A44" s="9">
        <f t="shared" si="0"/>
        <v>38</v>
      </c>
      <c r="B44" s="84" t="s">
        <v>1126</v>
      </c>
      <c r="C44" s="85" t="s">
        <v>111</v>
      </c>
      <c r="D44" s="86" t="s">
        <v>1094</v>
      </c>
      <c r="E44" s="87" t="s">
        <v>664</v>
      </c>
      <c r="F44" s="87" t="s">
        <v>541</v>
      </c>
      <c r="G44" s="91" t="s">
        <v>2430</v>
      </c>
      <c r="H44" s="25" t="s">
        <v>1795</v>
      </c>
      <c r="I44" s="25"/>
      <c r="J44" s="118" t="s">
        <v>2431</v>
      </c>
      <c r="K44" s="48" t="str">
        <f t="shared" si="3"/>
        <v>Nguyễn Duy</v>
      </c>
      <c r="L44" s="8" t="str">
        <f t="shared" si="4"/>
        <v>Vũ</v>
      </c>
    </row>
    <row r="45" spans="1:12" ht="20.25" customHeight="1">
      <c r="A45" s="9">
        <f t="shared" si="0"/>
        <v>39</v>
      </c>
      <c r="B45" s="84" t="s">
        <v>1467</v>
      </c>
      <c r="C45" s="85" t="s">
        <v>111</v>
      </c>
      <c r="D45" s="86" t="s">
        <v>1803</v>
      </c>
      <c r="E45" s="87" t="s">
        <v>2453</v>
      </c>
      <c r="F45" s="87" t="s">
        <v>556</v>
      </c>
      <c r="G45" s="91" t="s">
        <v>2454</v>
      </c>
      <c r="H45" s="89"/>
      <c r="I45" s="25" t="s">
        <v>1804</v>
      </c>
      <c r="J45" s="118" t="s">
        <v>2204</v>
      </c>
      <c r="K45" s="48" t="str">
        <f t="shared" ref="K45:L52" si="5">PROPER(B45)</f>
        <v>Trần Quốc</v>
      </c>
      <c r="L45" s="8" t="str">
        <f t="shared" si="5"/>
        <v>Vũ</v>
      </c>
    </row>
    <row r="46" spans="1:12" ht="19.5" customHeight="1">
      <c r="A46" s="9">
        <f t="shared" si="0"/>
        <v>40</v>
      </c>
      <c r="B46" s="84" t="s">
        <v>203</v>
      </c>
      <c r="C46" s="85" t="s">
        <v>68</v>
      </c>
      <c r="D46" s="86">
        <v>39576</v>
      </c>
      <c r="E46" s="87" t="s">
        <v>848</v>
      </c>
      <c r="F46" s="87" t="s">
        <v>544</v>
      </c>
      <c r="G46" s="88" t="s">
        <v>853</v>
      </c>
      <c r="H46" s="89"/>
      <c r="I46" s="51" t="s">
        <v>2803</v>
      </c>
      <c r="J46" s="112" t="s">
        <v>2204</v>
      </c>
      <c r="K46" s="48" t="str">
        <f t="shared" si="5"/>
        <v xml:space="preserve">Nguyễn Quốc </v>
      </c>
      <c r="L46" s="8" t="str">
        <f t="shared" si="5"/>
        <v>Trường</v>
      </c>
    </row>
    <row r="47" spans="1:12" ht="19.5" customHeight="1">
      <c r="A47" s="9">
        <f t="shared" si="0"/>
        <v>41</v>
      </c>
      <c r="B47" s="84" t="s">
        <v>1103</v>
      </c>
      <c r="C47" s="85" t="s">
        <v>27</v>
      </c>
      <c r="D47" s="86" t="s">
        <v>1101</v>
      </c>
      <c r="E47" s="87" t="s">
        <v>725</v>
      </c>
      <c r="F47" s="87" t="s">
        <v>541</v>
      </c>
      <c r="G47" s="88" t="s">
        <v>2471</v>
      </c>
      <c r="H47" s="89" t="s">
        <v>2838</v>
      </c>
      <c r="I47" s="51" t="s">
        <v>1912</v>
      </c>
      <c r="J47" s="112" t="s">
        <v>2204</v>
      </c>
      <c r="K47" s="48" t="str">
        <f t="shared" si="5"/>
        <v>Võ Anh</v>
      </c>
      <c r="L47" s="8" t="str">
        <f t="shared" si="5"/>
        <v>Duy</v>
      </c>
    </row>
    <row r="48" spans="1:12" ht="19.5" customHeight="1">
      <c r="A48" s="9">
        <f t="shared" si="0"/>
        <v>42</v>
      </c>
      <c r="B48" s="84" t="s">
        <v>3037</v>
      </c>
      <c r="C48" s="85" t="s">
        <v>62</v>
      </c>
      <c r="D48" s="86" t="s">
        <v>1227</v>
      </c>
      <c r="E48" s="87" t="s">
        <v>1273</v>
      </c>
      <c r="F48" s="87" t="s">
        <v>544</v>
      </c>
      <c r="G48" s="88" t="s">
        <v>3095</v>
      </c>
      <c r="H48" s="89"/>
      <c r="I48" s="51" t="s">
        <v>3029</v>
      </c>
      <c r="J48" s="112" t="s">
        <v>2204</v>
      </c>
      <c r="K48" s="48" t="str">
        <f t="shared" si="5"/>
        <v>Phạm Đức</v>
      </c>
      <c r="L48" s="8" t="str">
        <f t="shared" si="5"/>
        <v>Thiện</v>
      </c>
    </row>
    <row r="49" spans="1:12" ht="19.5" customHeight="1">
      <c r="A49" s="9">
        <f t="shared" si="0"/>
        <v>43</v>
      </c>
      <c r="B49" s="84" t="s">
        <v>1080</v>
      </c>
      <c r="C49" s="85" t="s">
        <v>1540</v>
      </c>
      <c r="D49" s="86" t="s">
        <v>1241</v>
      </c>
      <c r="E49" s="87" t="s">
        <v>711</v>
      </c>
      <c r="F49" s="87" t="s">
        <v>541</v>
      </c>
      <c r="G49" s="88" t="s">
        <v>3256</v>
      </c>
      <c r="H49" s="89"/>
      <c r="I49" s="51" t="s">
        <v>3219</v>
      </c>
      <c r="J49" s="112" t="s">
        <v>2204</v>
      </c>
      <c r="K49" s="48" t="str">
        <f t="shared" si="5"/>
        <v>Nguyễn Lương</v>
      </c>
      <c r="L49" s="8" t="str">
        <f t="shared" si="5"/>
        <v>Tấn</v>
      </c>
    </row>
    <row r="50" spans="1:12" s="202" customFormat="1" ht="19.5" customHeight="1">
      <c r="A50" s="165">
        <f t="shared" si="0"/>
        <v>44</v>
      </c>
      <c r="B50" s="226" t="s">
        <v>1865</v>
      </c>
      <c r="C50" s="227" t="s">
        <v>58</v>
      </c>
      <c r="D50" s="228" t="s">
        <v>1556</v>
      </c>
      <c r="E50" s="229" t="s">
        <v>540</v>
      </c>
      <c r="F50" s="229" t="s">
        <v>541</v>
      </c>
      <c r="G50" s="230" t="s">
        <v>3258</v>
      </c>
      <c r="H50" s="231"/>
      <c r="I50" s="232" t="s">
        <v>3244</v>
      </c>
      <c r="J50" s="214" t="s">
        <v>3257</v>
      </c>
      <c r="K50" s="215" t="str">
        <f t="shared" si="5"/>
        <v>Võ Văn</v>
      </c>
      <c r="L50" s="211" t="str">
        <f t="shared" si="5"/>
        <v>Khang</v>
      </c>
    </row>
    <row r="51" spans="1:12" s="202" customFormat="1" ht="19.5" customHeight="1">
      <c r="A51" s="165">
        <f>ROW()-6</f>
        <v>45</v>
      </c>
      <c r="B51" s="226" t="s">
        <v>3306</v>
      </c>
      <c r="C51" s="227" t="s">
        <v>128</v>
      </c>
      <c r="D51" s="228">
        <v>39697</v>
      </c>
      <c r="E51" s="229" t="s">
        <v>630</v>
      </c>
      <c r="F51" s="229" t="s">
        <v>541</v>
      </c>
      <c r="G51" s="230" t="s">
        <v>3397</v>
      </c>
      <c r="H51" s="282" t="s">
        <v>3307</v>
      </c>
      <c r="I51" s="232" t="s">
        <v>3304</v>
      </c>
      <c r="J51" s="117" t="s">
        <v>3525</v>
      </c>
      <c r="K51" s="215" t="str">
        <f t="shared" si="5"/>
        <v>Phạm Bình</v>
      </c>
      <c r="L51" s="211" t="str">
        <f t="shared" si="5"/>
        <v>Huy</v>
      </c>
    </row>
    <row r="52" spans="1:12" s="202" customFormat="1" ht="19.5" customHeight="1">
      <c r="A52" s="165">
        <f t="shared" si="0"/>
        <v>46</v>
      </c>
      <c r="B52" s="226" t="s">
        <v>1150</v>
      </c>
      <c r="C52" s="227" t="s">
        <v>252</v>
      </c>
      <c r="D52" s="228">
        <v>39191</v>
      </c>
      <c r="E52" s="229"/>
      <c r="F52" s="229"/>
      <c r="G52" s="230"/>
      <c r="H52" s="282"/>
      <c r="I52" s="232" t="s">
        <v>3535</v>
      </c>
      <c r="J52" s="117" t="s">
        <v>3536</v>
      </c>
      <c r="K52" s="215" t="str">
        <f t="shared" si="5"/>
        <v>Trần Văn</v>
      </c>
      <c r="L52" s="211" t="str">
        <f t="shared" si="5"/>
        <v>Tú</v>
      </c>
    </row>
  </sheetData>
  <sortState ref="B7:I47">
    <sortCondition ref="C7:C47"/>
  </sortState>
  <mergeCells count="8">
    <mergeCell ref="B6:C6"/>
    <mergeCell ref="E6:F6"/>
    <mergeCell ref="A1:D1"/>
    <mergeCell ref="E1:H1"/>
    <mergeCell ref="A2:D2"/>
    <mergeCell ref="E2:H2"/>
    <mergeCell ref="A4:H4"/>
    <mergeCell ref="A5:H5"/>
  </mergeCells>
  <pageMargins left="0.2" right="0.2" top="0.31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opLeftCell="A41" workbookViewId="0">
      <selection activeCell="B7" sqref="B7:D54"/>
    </sheetView>
  </sheetViews>
  <sheetFormatPr defaultRowHeight="15"/>
  <cols>
    <col min="1" max="1" width="5.28515625" style="1" customWidth="1"/>
    <col min="2" max="2" width="21.5703125" style="1" customWidth="1"/>
    <col min="3" max="3" width="8" style="1" customWidth="1"/>
    <col min="4" max="4" width="10.28515625" style="1" customWidth="1"/>
    <col min="5" max="5" width="16.28515625" style="42" customWidth="1"/>
    <col min="6" max="6" width="14.5703125" style="42" customWidth="1"/>
    <col min="7" max="7" width="17.7109375" style="1" customWidth="1"/>
    <col min="8" max="8" width="25.85546875" style="156" customWidth="1"/>
    <col min="9" max="9" width="19.28515625" style="155" customWidth="1"/>
    <col min="10" max="10" width="33.7109375" style="155" customWidth="1"/>
    <col min="11" max="11" width="20.5703125" style="81" customWidth="1"/>
    <col min="12" max="12" width="9.140625" style="81"/>
    <col min="13" max="16384" width="9.140625" style="1"/>
  </cols>
  <sheetData>
    <row r="1" spans="1:12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</row>
    <row r="2" spans="1:12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</row>
    <row r="3" spans="1:12" ht="15.75" customHeight="1">
      <c r="A3" s="2"/>
      <c r="B3" s="3"/>
      <c r="C3" s="3"/>
      <c r="D3" s="3"/>
    </row>
    <row r="4" spans="1:12" ht="15.75" customHeight="1">
      <c r="A4" s="308" t="s">
        <v>10</v>
      </c>
      <c r="B4" s="308"/>
      <c r="C4" s="308"/>
      <c r="D4" s="308"/>
      <c r="E4" s="308"/>
      <c r="F4" s="308"/>
      <c r="G4" s="308"/>
      <c r="H4" s="308"/>
    </row>
    <row r="5" spans="1:12" s="4" customFormat="1" ht="23.25" customHeight="1">
      <c r="A5" s="309" t="s">
        <v>1943</v>
      </c>
      <c r="B5" s="309"/>
      <c r="C5" s="309"/>
      <c r="D5" s="309"/>
      <c r="E5" s="309"/>
      <c r="F5" s="309"/>
      <c r="G5" s="309"/>
      <c r="H5" s="309"/>
      <c r="I5" s="155"/>
      <c r="J5" s="155"/>
      <c r="K5" s="82"/>
      <c r="L5" s="82"/>
    </row>
    <row r="6" spans="1:12" s="8" customFormat="1" ht="45.75" customHeight="1">
      <c r="A6" s="7" t="s">
        <v>4</v>
      </c>
      <c r="B6" s="310" t="s">
        <v>5</v>
      </c>
      <c r="C6" s="311"/>
      <c r="D6" s="20" t="s">
        <v>6</v>
      </c>
      <c r="E6" s="304" t="s">
        <v>11</v>
      </c>
      <c r="F6" s="305"/>
      <c r="G6" s="20" t="s">
        <v>226</v>
      </c>
      <c r="H6" s="5" t="s">
        <v>7</v>
      </c>
      <c r="I6" s="5" t="s">
        <v>1630</v>
      </c>
      <c r="J6" s="5" t="s">
        <v>2219</v>
      </c>
      <c r="K6" s="83"/>
      <c r="L6" s="83"/>
    </row>
    <row r="7" spans="1:12" s="8" customFormat="1" ht="20.25" customHeight="1">
      <c r="A7" s="9">
        <f t="shared" ref="A7:A54" si="0">ROW()-6</f>
        <v>1</v>
      </c>
      <c r="B7" s="21" t="s">
        <v>2016</v>
      </c>
      <c r="C7" s="22" t="s">
        <v>361</v>
      </c>
      <c r="D7" s="12" t="s">
        <v>1960</v>
      </c>
      <c r="E7" s="35" t="s">
        <v>596</v>
      </c>
      <c r="F7" s="35" t="s">
        <v>544</v>
      </c>
      <c r="G7" s="30" t="s">
        <v>2481</v>
      </c>
      <c r="H7" s="35"/>
      <c r="I7" s="118" t="s">
        <v>1955</v>
      </c>
      <c r="J7" s="112" t="s">
        <v>2204</v>
      </c>
      <c r="K7" s="83" t="str">
        <f t="shared" ref="K7:L12" si="1">PROPER(B7)</f>
        <v>Huỳnh Quốc</v>
      </c>
      <c r="L7" s="83" t="str">
        <f t="shared" si="1"/>
        <v>Danh</v>
      </c>
    </row>
    <row r="8" spans="1:12" s="8" customFormat="1" ht="20.25" customHeight="1">
      <c r="A8" s="9">
        <f t="shared" si="0"/>
        <v>2</v>
      </c>
      <c r="B8" s="21" t="s">
        <v>2245</v>
      </c>
      <c r="C8" s="22" t="s">
        <v>2363</v>
      </c>
      <c r="D8" s="12" t="s">
        <v>2366</v>
      </c>
      <c r="E8" s="35" t="s">
        <v>2523</v>
      </c>
      <c r="F8" s="35" t="s">
        <v>541</v>
      </c>
      <c r="G8" s="30" t="s">
        <v>2522</v>
      </c>
      <c r="H8" s="35"/>
      <c r="I8" s="118" t="s">
        <v>2359</v>
      </c>
      <c r="J8" s="112" t="s">
        <v>2204</v>
      </c>
      <c r="K8" s="83" t="str">
        <f t="shared" si="1"/>
        <v>Hồ Văn</v>
      </c>
      <c r="L8" s="83" t="str">
        <f t="shared" si="1"/>
        <v>Đào</v>
      </c>
    </row>
    <row r="9" spans="1:12" s="8" customFormat="1" ht="20.25" customHeight="1">
      <c r="A9" s="9">
        <f t="shared" si="0"/>
        <v>3</v>
      </c>
      <c r="B9" s="21" t="s">
        <v>1133</v>
      </c>
      <c r="C9" s="22" t="s">
        <v>25</v>
      </c>
      <c r="D9" s="12" t="s">
        <v>1984</v>
      </c>
      <c r="E9" s="35" t="s">
        <v>626</v>
      </c>
      <c r="F9" s="35" t="s">
        <v>541</v>
      </c>
      <c r="G9" s="30" t="s">
        <v>2487</v>
      </c>
      <c r="H9" s="35"/>
      <c r="I9" s="118" t="s">
        <v>2106</v>
      </c>
      <c r="J9" s="112" t="s">
        <v>2204</v>
      </c>
      <c r="K9" s="83" t="str">
        <f t="shared" si="1"/>
        <v>Nguyễn Văn</v>
      </c>
      <c r="L9" s="83" t="str">
        <f t="shared" si="1"/>
        <v>Đạt</v>
      </c>
    </row>
    <row r="10" spans="1:12" s="8" customFormat="1" ht="20.25" customHeight="1">
      <c r="A10" s="9">
        <f t="shared" si="0"/>
        <v>4</v>
      </c>
      <c r="B10" s="21" t="s">
        <v>1126</v>
      </c>
      <c r="C10" s="22" t="s">
        <v>25</v>
      </c>
      <c r="D10" s="12" t="s">
        <v>2108</v>
      </c>
      <c r="E10" s="35" t="s">
        <v>2484</v>
      </c>
      <c r="F10" s="35" t="s">
        <v>731</v>
      </c>
      <c r="G10" s="30" t="s">
        <v>2485</v>
      </c>
      <c r="H10" s="35"/>
      <c r="I10" s="118" t="s">
        <v>2106</v>
      </c>
      <c r="J10" s="112" t="s">
        <v>2204</v>
      </c>
      <c r="K10" s="83" t="str">
        <f t="shared" si="1"/>
        <v>Nguyễn Duy</v>
      </c>
      <c r="L10" s="83" t="str">
        <f t="shared" si="1"/>
        <v>Đạt</v>
      </c>
    </row>
    <row r="11" spans="1:12" s="8" customFormat="1" ht="20.25" customHeight="1">
      <c r="A11" s="9">
        <f t="shared" si="0"/>
        <v>5</v>
      </c>
      <c r="B11" s="21" t="s">
        <v>1809</v>
      </c>
      <c r="C11" s="22" t="s">
        <v>2051</v>
      </c>
      <c r="D11" s="12" t="s">
        <v>2056</v>
      </c>
      <c r="E11" s="35" t="s">
        <v>2475</v>
      </c>
      <c r="F11" s="35" t="s">
        <v>544</v>
      </c>
      <c r="G11" s="30" t="s">
        <v>2476</v>
      </c>
      <c r="H11" s="35"/>
      <c r="I11" s="118" t="s">
        <v>2072</v>
      </c>
      <c r="J11" s="112" t="s">
        <v>2477</v>
      </c>
      <c r="K11" s="83" t="str">
        <f t="shared" si="1"/>
        <v>Lê Quang</v>
      </c>
      <c r="L11" s="83" t="str">
        <f t="shared" si="1"/>
        <v>Định</v>
      </c>
    </row>
    <row r="12" spans="1:12" ht="20.25" customHeight="1">
      <c r="A12" s="9">
        <f t="shared" si="0"/>
        <v>6</v>
      </c>
      <c r="B12" s="21" t="s">
        <v>1930</v>
      </c>
      <c r="C12" s="22" t="s">
        <v>66</v>
      </c>
      <c r="D12" s="162" t="s">
        <v>1934</v>
      </c>
      <c r="E12" s="35" t="s">
        <v>2448</v>
      </c>
      <c r="F12" s="35" t="s">
        <v>573</v>
      </c>
      <c r="G12" s="30" t="s">
        <v>2480</v>
      </c>
      <c r="H12" s="35"/>
      <c r="I12" s="118" t="s">
        <v>1936</v>
      </c>
      <c r="J12" s="112" t="s">
        <v>2204</v>
      </c>
      <c r="K12" s="83" t="str">
        <f t="shared" si="1"/>
        <v>Công Minh</v>
      </c>
      <c r="L12" s="83" t="str">
        <f t="shared" si="1"/>
        <v>Đức</v>
      </c>
    </row>
    <row r="13" spans="1:12" ht="20.25" customHeight="1">
      <c r="A13" s="9">
        <f t="shared" si="0"/>
        <v>7</v>
      </c>
      <c r="B13" s="21" t="s">
        <v>1865</v>
      </c>
      <c r="C13" s="22" t="s">
        <v>1866</v>
      </c>
      <c r="D13" s="86" t="s">
        <v>1872</v>
      </c>
      <c r="E13" s="87" t="s">
        <v>2468</v>
      </c>
      <c r="F13" s="87" t="s">
        <v>544</v>
      </c>
      <c r="G13" s="91" t="s">
        <v>2469</v>
      </c>
      <c r="H13" s="87"/>
      <c r="I13" s="118" t="s">
        <v>1862</v>
      </c>
      <c r="J13" s="112" t="s">
        <v>2204</v>
      </c>
      <c r="K13" s="83" t="str">
        <f t="shared" ref="K13:L17" si="2">PROPER(B13)</f>
        <v>Võ Văn</v>
      </c>
      <c r="L13" s="83" t="str">
        <f t="shared" si="2"/>
        <v>Giáp</v>
      </c>
    </row>
    <row r="14" spans="1:12" ht="20.25" customHeight="1">
      <c r="A14" s="9">
        <f t="shared" si="0"/>
        <v>8</v>
      </c>
      <c r="B14" s="21" t="s">
        <v>1125</v>
      </c>
      <c r="C14" s="22" t="s">
        <v>42</v>
      </c>
      <c r="D14" s="12">
        <v>39794</v>
      </c>
      <c r="E14" s="35" t="s">
        <v>629</v>
      </c>
      <c r="F14" s="35" t="s">
        <v>541</v>
      </c>
      <c r="G14" s="30" t="s">
        <v>2488</v>
      </c>
      <c r="H14" s="35"/>
      <c r="I14" s="118" t="s">
        <v>2018</v>
      </c>
      <c r="J14" s="112" t="s">
        <v>2204</v>
      </c>
      <c r="K14" s="83" t="str">
        <f t="shared" si="2"/>
        <v>Nguyễn Hoàng</v>
      </c>
      <c r="L14" s="83" t="str">
        <f t="shared" si="2"/>
        <v>Hiếu</v>
      </c>
    </row>
    <row r="15" spans="1:12" ht="20.25" customHeight="1">
      <c r="A15" s="9">
        <f t="shared" si="0"/>
        <v>9</v>
      </c>
      <c r="B15" s="21" t="s">
        <v>1127</v>
      </c>
      <c r="C15" s="22" t="s">
        <v>17</v>
      </c>
      <c r="D15" s="86" t="s">
        <v>1666</v>
      </c>
      <c r="E15" s="87" t="s">
        <v>676</v>
      </c>
      <c r="F15" s="87" t="s">
        <v>541</v>
      </c>
      <c r="G15" s="91" t="s">
        <v>2467</v>
      </c>
      <c r="H15" s="87"/>
      <c r="I15" s="118" t="s">
        <v>1862</v>
      </c>
      <c r="J15" s="112" t="s">
        <v>2204</v>
      </c>
      <c r="K15" s="83" t="str">
        <f t="shared" si="2"/>
        <v>Nguyễn Phước</v>
      </c>
      <c r="L15" s="83" t="str">
        <f t="shared" si="2"/>
        <v>Hoàng</v>
      </c>
    </row>
    <row r="16" spans="1:12" ht="20.25" customHeight="1">
      <c r="A16" s="9">
        <f t="shared" si="0"/>
        <v>10</v>
      </c>
      <c r="B16" s="21" t="s">
        <v>1075</v>
      </c>
      <c r="C16" s="22" t="s">
        <v>123</v>
      </c>
      <c r="D16" s="86" t="s">
        <v>1871</v>
      </c>
      <c r="E16" s="87" t="s">
        <v>570</v>
      </c>
      <c r="F16" s="87" t="s">
        <v>541</v>
      </c>
      <c r="G16" s="91" t="s">
        <v>2470</v>
      </c>
      <c r="H16" s="87"/>
      <c r="I16" s="118" t="s">
        <v>1862</v>
      </c>
      <c r="J16" s="112" t="s">
        <v>2204</v>
      </c>
      <c r="K16" s="83" t="str">
        <f t="shared" si="2"/>
        <v>Lê Anh</v>
      </c>
      <c r="L16" s="83" t="str">
        <f t="shared" si="2"/>
        <v>Hùng</v>
      </c>
    </row>
    <row r="17" spans="1:12" ht="20.25" customHeight="1">
      <c r="A17" s="9">
        <f t="shared" si="0"/>
        <v>11</v>
      </c>
      <c r="B17" s="21" t="s">
        <v>2105</v>
      </c>
      <c r="C17" s="22" t="s">
        <v>166</v>
      </c>
      <c r="D17" s="12" t="s">
        <v>2110</v>
      </c>
      <c r="E17" s="35" t="s">
        <v>2494</v>
      </c>
      <c r="F17" s="35" t="s">
        <v>544</v>
      </c>
      <c r="G17" s="30" t="s">
        <v>2495</v>
      </c>
      <c r="H17" s="35"/>
      <c r="I17" s="118" t="s">
        <v>2106</v>
      </c>
      <c r="J17" s="112" t="s">
        <v>2204</v>
      </c>
      <c r="K17" s="83" t="str">
        <f t="shared" si="2"/>
        <v>Hồ Duy</v>
      </c>
      <c r="L17" s="83" t="str">
        <f t="shared" si="2"/>
        <v>Hưng</v>
      </c>
    </row>
    <row r="18" spans="1:12" ht="20.25" customHeight="1">
      <c r="A18" s="9">
        <f t="shared" si="0"/>
        <v>12</v>
      </c>
      <c r="B18" s="21" t="s">
        <v>3226</v>
      </c>
      <c r="C18" s="22" t="s">
        <v>128</v>
      </c>
      <c r="D18" s="12" t="s">
        <v>2107</v>
      </c>
      <c r="E18" s="35" t="s">
        <v>554</v>
      </c>
      <c r="F18" s="35" t="s">
        <v>544</v>
      </c>
      <c r="G18" s="30" t="s">
        <v>2486</v>
      </c>
      <c r="H18" s="35"/>
      <c r="I18" s="118" t="s">
        <v>2106</v>
      </c>
      <c r="J18" s="112" t="s">
        <v>2204</v>
      </c>
      <c r="K18" s="83" t="str">
        <f t="shared" ref="K18:K22" si="3">PROPER(B18)</f>
        <v>Lâm Chấn</v>
      </c>
      <c r="L18" s="83" t="str">
        <f t="shared" ref="L18:L22" si="4">PROPER(C18)</f>
        <v>Huy</v>
      </c>
    </row>
    <row r="19" spans="1:12" ht="20.25" customHeight="1">
      <c r="A19" s="9">
        <f t="shared" si="0"/>
        <v>13</v>
      </c>
      <c r="B19" s="21" t="s">
        <v>2104</v>
      </c>
      <c r="C19" s="22" t="s">
        <v>128</v>
      </c>
      <c r="D19" s="12" t="s">
        <v>1224</v>
      </c>
      <c r="E19" s="35" t="s">
        <v>691</v>
      </c>
      <c r="F19" s="35" t="s">
        <v>541</v>
      </c>
      <c r="G19" s="30" t="s">
        <v>2483</v>
      </c>
      <c r="H19" s="35"/>
      <c r="I19" s="118" t="s">
        <v>2106</v>
      </c>
      <c r="J19" s="112" t="s">
        <v>2204</v>
      </c>
      <c r="K19" s="83" t="str">
        <f t="shared" si="3"/>
        <v>Trần Vương</v>
      </c>
      <c r="L19" s="83" t="str">
        <f t="shared" si="4"/>
        <v>Huy</v>
      </c>
    </row>
    <row r="20" spans="1:12" ht="20.25" customHeight="1">
      <c r="A20" s="9">
        <f t="shared" si="0"/>
        <v>14</v>
      </c>
      <c r="B20" s="21" t="s">
        <v>1869</v>
      </c>
      <c r="C20" s="22" t="s">
        <v>60</v>
      </c>
      <c r="D20" s="86" t="s">
        <v>1875</v>
      </c>
      <c r="E20" s="87" t="s">
        <v>868</v>
      </c>
      <c r="F20" s="87" t="s">
        <v>541</v>
      </c>
      <c r="G20" s="91" t="s">
        <v>2465</v>
      </c>
      <c r="H20" s="87"/>
      <c r="I20" s="118" t="s">
        <v>1862</v>
      </c>
      <c r="J20" s="112" t="s">
        <v>2204</v>
      </c>
      <c r="K20" s="83" t="str">
        <f t="shared" si="3"/>
        <v>Nguyễn Viết Anh</v>
      </c>
      <c r="L20" s="83" t="str">
        <f t="shared" si="4"/>
        <v>Khoa</v>
      </c>
    </row>
    <row r="21" spans="1:12" ht="20.25" customHeight="1">
      <c r="A21" s="9">
        <f t="shared" si="0"/>
        <v>15</v>
      </c>
      <c r="B21" s="21" t="s">
        <v>1867</v>
      </c>
      <c r="C21" s="22" t="s">
        <v>90</v>
      </c>
      <c r="D21" s="86" t="s">
        <v>1873</v>
      </c>
      <c r="E21" s="87" t="s">
        <v>1389</v>
      </c>
      <c r="F21" s="87" t="s">
        <v>541</v>
      </c>
      <c r="G21" s="91" t="s">
        <v>2464</v>
      </c>
      <c r="H21" s="87"/>
      <c r="I21" s="118" t="s">
        <v>1862</v>
      </c>
      <c r="J21" s="112" t="s">
        <v>2204</v>
      </c>
      <c r="K21" s="83" t="str">
        <f t="shared" si="3"/>
        <v>Nguyễn Lương Thành</v>
      </c>
      <c r="L21" s="83" t="str">
        <f t="shared" si="4"/>
        <v>Long</v>
      </c>
    </row>
    <row r="22" spans="1:12" ht="20.25" customHeight="1">
      <c r="A22" s="9">
        <f t="shared" si="0"/>
        <v>16</v>
      </c>
      <c r="B22" s="21" t="s">
        <v>1868</v>
      </c>
      <c r="C22" s="22" t="s">
        <v>92</v>
      </c>
      <c r="D22" s="86" t="s">
        <v>1874</v>
      </c>
      <c r="E22" s="87" t="s">
        <v>787</v>
      </c>
      <c r="F22" s="87" t="s">
        <v>541</v>
      </c>
      <c r="G22" s="91" t="s">
        <v>2605</v>
      </c>
      <c r="H22" s="87"/>
      <c r="I22" s="118" t="s">
        <v>1862</v>
      </c>
      <c r="J22" s="112" t="s">
        <v>2204</v>
      </c>
      <c r="K22" s="83" t="str">
        <f t="shared" si="3"/>
        <v>Phạm Hoàng Anh</v>
      </c>
      <c r="L22" s="83" t="str">
        <f t="shared" si="4"/>
        <v>Nhân</v>
      </c>
    </row>
    <row r="23" spans="1:12" ht="20.25" customHeight="1">
      <c r="A23" s="9">
        <f t="shared" si="0"/>
        <v>17</v>
      </c>
      <c r="B23" s="21" t="s">
        <v>2015</v>
      </c>
      <c r="C23" s="22" t="s">
        <v>74</v>
      </c>
      <c r="D23" s="12" t="s">
        <v>1959</v>
      </c>
      <c r="E23" s="35" t="s">
        <v>543</v>
      </c>
      <c r="F23" s="35" t="s">
        <v>544</v>
      </c>
      <c r="G23" s="30" t="s">
        <v>2493</v>
      </c>
      <c r="H23" s="35"/>
      <c r="I23" s="118" t="s">
        <v>1955</v>
      </c>
      <c r="J23" s="112" t="s">
        <v>2204</v>
      </c>
      <c r="K23" s="83" t="str">
        <f t="shared" ref="K23:K27" si="5">PROPER(B23)</f>
        <v>Võ Thanh</v>
      </c>
      <c r="L23" s="83" t="str">
        <f t="shared" ref="L23:L27" si="6">PROPER(C23)</f>
        <v>Nhật</v>
      </c>
    </row>
    <row r="24" spans="1:12" ht="20.25" customHeight="1">
      <c r="A24" s="9">
        <f t="shared" si="0"/>
        <v>18</v>
      </c>
      <c r="B24" s="21" t="s">
        <v>1928</v>
      </c>
      <c r="C24" s="22" t="s">
        <v>49</v>
      </c>
      <c r="D24" s="12" t="s">
        <v>1762</v>
      </c>
      <c r="E24" s="35" t="s">
        <v>2472</v>
      </c>
      <c r="F24" s="35" t="s">
        <v>631</v>
      </c>
      <c r="G24" s="30" t="s">
        <v>2473</v>
      </c>
      <c r="H24" s="35"/>
      <c r="I24" s="118" t="s">
        <v>1936</v>
      </c>
      <c r="J24" s="112" t="s">
        <v>2204</v>
      </c>
      <c r="K24" s="83" t="str">
        <f t="shared" si="5"/>
        <v>Đoàn Văn Khánh</v>
      </c>
      <c r="L24" s="83" t="str">
        <f t="shared" si="6"/>
        <v>Phong</v>
      </c>
    </row>
    <row r="25" spans="1:12" ht="20.25" customHeight="1">
      <c r="A25" s="9">
        <f t="shared" si="0"/>
        <v>19</v>
      </c>
      <c r="B25" s="21" t="s">
        <v>2364</v>
      </c>
      <c r="C25" s="22" t="s">
        <v>64</v>
      </c>
      <c r="D25" s="12" t="s">
        <v>2367</v>
      </c>
      <c r="E25" s="35" t="s">
        <v>592</v>
      </c>
      <c r="F25" s="35" t="s">
        <v>541</v>
      </c>
      <c r="G25" s="30" t="s">
        <v>2525</v>
      </c>
      <c r="H25" s="35"/>
      <c r="I25" s="118" t="s">
        <v>2359</v>
      </c>
      <c r="J25" s="112" t="s">
        <v>2204</v>
      </c>
      <c r="K25" s="83" t="str">
        <f t="shared" si="5"/>
        <v>Văn Viết</v>
      </c>
      <c r="L25" s="83" t="str">
        <f t="shared" si="6"/>
        <v>Quang</v>
      </c>
    </row>
    <row r="26" spans="1:12" ht="20.25" customHeight="1">
      <c r="A26" s="9">
        <f t="shared" si="0"/>
        <v>20</v>
      </c>
      <c r="B26" s="21" t="s">
        <v>1814</v>
      </c>
      <c r="C26" s="22" t="s">
        <v>1402</v>
      </c>
      <c r="D26" s="12" t="s">
        <v>1092</v>
      </c>
      <c r="E26" s="35" t="s">
        <v>2520</v>
      </c>
      <c r="F26" s="35" t="s">
        <v>573</v>
      </c>
      <c r="G26" s="30" t="s">
        <v>2521</v>
      </c>
      <c r="H26" s="35"/>
      <c r="I26" s="118" t="s">
        <v>2243</v>
      </c>
      <c r="J26" s="112" t="s">
        <v>2204</v>
      </c>
      <c r="K26" s="83" t="str">
        <f t="shared" si="5"/>
        <v>Lê Tiến</v>
      </c>
      <c r="L26" s="83" t="str">
        <f t="shared" si="6"/>
        <v>Sỹ</v>
      </c>
    </row>
    <row r="27" spans="1:12" ht="20.25" customHeight="1">
      <c r="A27" s="9">
        <f t="shared" si="0"/>
        <v>21</v>
      </c>
      <c r="B27" s="21" t="s">
        <v>1909</v>
      </c>
      <c r="C27" s="22" t="s">
        <v>1924</v>
      </c>
      <c r="D27" s="12">
        <v>39341</v>
      </c>
      <c r="E27" s="35" t="s">
        <v>862</v>
      </c>
      <c r="F27" s="35" t="s">
        <v>573</v>
      </c>
      <c r="G27" s="30" t="s">
        <v>2461</v>
      </c>
      <c r="H27" s="36" t="s">
        <v>2462</v>
      </c>
      <c r="I27" s="118" t="s">
        <v>1912</v>
      </c>
      <c r="J27" s="112" t="s">
        <v>2463</v>
      </c>
      <c r="K27" s="83" t="str">
        <f t="shared" si="5"/>
        <v>Trần Duy</v>
      </c>
      <c r="L27" s="83" t="str">
        <f t="shared" si="6"/>
        <v>Tám</v>
      </c>
    </row>
    <row r="28" spans="1:12" ht="20.25" customHeight="1">
      <c r="A28" s="9">
        <f t="shared" si="0"/>
        <v>22</v>
      </c>
      <c r="B28" s="21" t="s">
        <v>1192</v>
      </c>
      <c r="C28" s="22" t="s">
        <v>2055</v>
      </c>
      <c r="D28" s="12" t="s">
        <v>2057</v>
      </c>
      <c r="E28" s="35" t="s">
        <v>711</v>
      </c>
      <c r="F28" s="35" t="s">
        <v>541</v>
      </c>
      <c r="G28" s="30" t="s">
        <v>2489</v>
      </c>
      <c r="H28" s="35"/>
      <c r="I28" s="118" t="s">
        <v>2072</v>
      </c>
      <c r="J28" s="112" t="s">
        <v>2204</v>
      </c>
      <c r="K28" s="83" t="str">
        <f t="shared" ref="K28:L32" si="7">PROPER(B28)</f>
        <v>Nguyễn Công</v>
      </c>
      <c r="L28" s="83" t="str">
        <f t="shared" si="7"/>
        <v>Tân</v>
      </c>
    </row>
    <row r="29" spans="1:12" ht="20.25" customHeight="1">
      <c r="A29" s="9">
        <f t="shared" si="0"/>
        <v>23</v>
      </c>
      <c r="B29" s="21" t="s">
        <v>2362</v>
      </c>
      <c r="C29" s="22" t="s">
        <v>47</v>
      </c>
      <c r="D29" s="12">
        <v>39628</v>
      </c>
      <c r="E29" s="35" t="s">
        <v>629</v>
      </c>
      <c r="F29" s="35" t="s">
        <v>541</v>
      </c>
      <c r="G29" s="30" t="s">
        <v>2723</v>
      </c>
      <c r="H29" s="36" t="s">
        <v>2607</v>
      </c>
      <c r="I29" s="118" t="s">
        <v>2359</v>
      </c>
      <c r="J29" s="112" t="s">
        <v>3429</v>
      </c>
      <c r="K29" s="83" t="str">
        <f t="shared" si="7"/>
        <v>Nguyễn Trương Gia</v>
      </c>
      <c r="L29" s="83" t="str">
        <f t="shared" si="7"/>
        <v>Thịnh</v>
      </c>
    </row>
    <row r="30" spans="1:12" ht="20.25" customHeight="1">
      <c r="A30" s="9">
        <f t="shared" si="0"/>
        <v>24</v>
      </c>
      <c r="B30" s="21" t="s">
        <v>1931</v>
      </c>
      <c r="C30" s="22" t="s">
        <v>1932</v>
      </c>
      <c r="D30" s="12" t="s">
        <v>1253</v>
      </c>
      <c r="E30" s="35" t="s">
        <v>1290</v>
      </c>
      <c r="F30" s="35" t="s">
        <v>541</v>
      </c>
      <c r="G30" s="30" t="s">
        <v>2479</v>
      </c>
      <c r="H30" s="35"/>
      <c r="I30" s="118" t="s">
        <v>1936</v>
      </c>
      <c r="J30" s="112" t="s">
        <v>2204</v>
      </c>
      <c r="K30" s="83" t="str">
        <f t="shared" si="7"/>
        <v>Nguyễn Như</v>
      </c>
      <c r="L30" s="83" t="str">
        <f t="shared" si="7"/>
        <v>Thức</v>
      </c>
    </row>
    <row r="31" spans="1:12" ht="20.25" customHeight="1">
      <c r="A31" s="9">
        <f t="shared" si="0"/>
        <v>25</v>
      </c>
      <c r="B31" s="21" t="s">
        <v>1815</v>
      </c>
      <c r="C31" s="22" t="s">
        <v>2244</v>
      </c>
      <c r="D31" s="12" t="s">
        <v>2246</v>
      </c>
      <c r="E31" s="35" t="s">
        <v>601</v>
      </c>
      <c r="F31" s="35" t="s">
        <v>556</v>
      </c>
      <c r="G31" s="30" t="s">
        <v>2526</v>
      </c>
      <c r="H31" s="35"/>
      <c r="I31" s="118" t="s">
        <v>2243</v>
      </c>
      <c r="J31" s="112" t="s">
        <v>2204</v>
      </c>
      <c r="K31" s="83" t="str">
        <f t="shared" si="7"/>
        <v>Phạm Ngọc</v>
      </c>
      <c r="L31" s="83" t="str">
        <f t="shared" si="7"/>
        <v>Tín</v>
      </c>
    </row>
    <row r="32" spans="1:12" ht="20.25" customHeight="1">
      <c r="A32" s="9">
        <f t="shared" si="0"/>
        <v>26</v>
      </c>
      <c r="B32" s="21" t="s">
        <v>2360</v>
      </c>
      <c r="C32" s="22" t="s">
        <v>2361</v>
      </c>
      <c r="D32" s="12" t="s">
        <v>2365</v>
      </c>
      <c r="E32" s="35" t="s">
        <v>665</v>
      </c>
      <c r="F32" s="35" t="s">
        <v>541</v>
      </c>
      <c r="G32" s="30" t="s">
        <v>2606</v>
      </c>
      <c r="H32" s="36" t="s">
        <v>2607</v>
      </c>
      <c r="I32" s="118" t="s">
        <v>2359</v>
      </c>
      <c r="J32" s="112" t="s">
        <v>2204</v>
      </c>
      <c r="K32" s="83" t="str">
        <f t="shared" si="7"/>
        <v xml:space="preserve">Nguyễn Nho </v>
      </c>
      <c r="L32" s="83" t="str">
        <f t="shared" si="7"/>
        <v>Triết</v>
      </c>
    </row>
    <row r="33" spans="1:12" ht="20.25" customHeight="1">
      <c r="A33" s="9">
        <f t="shared" si="0"/>
        <v>27</v>
      </c>
      <c r="B33" s="21" t="s">
        <v>1727</v>
      </c>
      <c r="C33" s="22" t="s">
        <v>45</v>
      </c>
      <c r="D33" s="12">
        <v>39752</v>
      </c>
      <c r="E33" s="35" t="s">
        <v>705</v>
      </c>
      <c r="F33" s="35" t="s">
        <v>541</v>
      </c>
      <c r="G33" s="30" t="s">
        <v>2492</v>
      </c>
      <c r="H33" s="35"/>
      <c r="I33" s="118" t="s">
        <v>1936</v>
      </c>
      <c r="J33" s="112" t="s">
        <v>2204</v>
      </c>
      <c r="K33" s="83" t="str">
        <f t="shared" ref="K33:K41" si="8">PROPER(B33)</f>
        <v>Lê Viết</v>
      </c>
      <c r="L33" s="83" t="str">
        <f t="shared" ref="L33:L41" si="9">PROPER(C33)</f>
        <v>Triều</v>
      </c>
    </row>
    <row r="34" spans="1:12" ht="20.25" customHeight="1">
      <c r="A34" s="9">
        <f t="shared" si="0"/>
        <v>28</v>
      </c>
      <c r="B34" s="21" t="s">
        <v>506</v>
      </c>
      <c r="C34" s="22" t="s">
        <v>106</v>
      </c>
      <c r="D34" s="12" t="s">
        <v>2248</v>
      </c>
      <c r="E34" s="35" t="s">
        <v>800</v>
      </c>
      <c r="F34" s="35" t="s">
        <v>541</v>
      </c>
      <c r="G34" s="30" t="s">
        <v>2524</v>
      </c>
      <c r="H34" s="35"/>
      <c r="I34" s="118" t="s">
        <v>2243</v>
      </c>
      <c r="J34" s="112" t="s">
        <v>2204</v>
      </c>
      <c r="K34" s="83" t="str">
        <f t="shared" si="8"/>
        <v>Nguyễn</v>
      </c>
      <c r="L34" s="83" t="str">
        <f t="shared" si="9"/>
        <v>Trọng</v>
      </c>
    </row>
    <row r="35" spans="1:12" ht="20.25" customHeight="1">
      <c r="A35" s="9">
        <f t="shared" si="0"/>
        <v>29</v>
      </c>
      <c r="B35" s="21" t="s">
        <v>1929</v>
      </c>
      <c r="C35" s="22" t="s">
        <v>195</v>
      </c>
      <c r="D35" s="12" t="s">
        <v>1933</v>
      </c>
      <c r="E35" s="35" t="s">
        <v>2472</v>
      </c>
      <c r="F35" s="35" t="s">
        <v>631</v>
      </c>
      <c r="G35" s="30" t="s">
        <v>2474</v>
      </c>
      <c r="H35" s="35"/>
      <c r="I35" s="118" t="s">
        <v>1936</v>
      </c>
      <c r="J35" s="112" t="s">
        <v>2204</v>
      </c>
      <c r="K35" s="83" t="str">
        <f t="shared" si="8"/>
        <v>Nguyễn Lê Nhật</v>
      </c>
      <c r="L35" s="83" t="str">
        <f t="shared" si="9"/>
        <v>Trung</v>
      </c>
    </row>
    <row r="36" spans="1:12" ht="20.25" customHeight="1">
      <c r="A36" s="9">
        <f t="shared" si="0"/>
        <v>30</v>
      </c>
      <c r="B36" s="21" t="s">
        <v>2054</v>
      </c>
      <c r="C36" s="22" t="s">
        <v>195</v>
      </c>
      <c r="D36" s="12" t="s">
        <v>1960</v>
      </c>
      <c r="E36" s="35" t="s">
        <v>800</v>
      </c>
      <c r="F36" s="35" t="s">
        <v>541</v>
      </c>
      <c r="G36" s="30" t="s">
        <v>2491</v>
      </c>
      <c r="H36" s="35"/>
      <c r="I36" s="118" t="s">
        <v>2072</v>
      </c>
      <c r="J36" s="112" t="s">
        <v>2208</v>
      </c>
      <c r="K36" s="83" t="str">
        <f t="shared" si="8"/>
        <v>Mạc Chí</v>
      </c>
      <c r="L36" s="83" t="str">
        <f t="shared" si="9"/>
        <v>Trung</v>
      </c>
    </row>
    <row r="37" spans="1:12" ht="20.25" customHeight="1">
      <c r="A37" s="9">
        <f t="shared" si="0"/>
        <v>31</v>
      </c>
      <c r="B37" s="21" t="s">
        <v>2103</v>
      </c>
      <c r="C37" s="22" t="s">
        <v>195</v>
      </c>
      <c r="D37" s="12" t="s">
        <v>2109</v>
      </c>
      <c r="E37" s="35" t="s">
        <v>592</v>
      </c>
      <c r="F37" s="35" t="s">
        <v>556</v>
      </c>
      <c r="G37" s="30" t="s">
        <v>2482</v>
      </c>
      <c r="H37" s="36" t="s">
        <v>2111</v>
      </c>
      <c r="I37" s="118" t="s">
        <v>2106</v>
      </c>
      <c r="J37" s="112" t="s">
        <v>2204</v>
      </c>
      <c r="K37" s="83" t="str">
        <f t="shared" si="8"/>
        <v>Lê Kế</v>
      </c>
      <c r="L37" s="83" t="str">
        <f t="shared" si="9"/>
        <v>Trung</v>
      </c>
    </row>
    <row r="38" spans="1:12" ht="20.25" customHeight="1">
      <c r="A38" s="9">
        <f t="shared" si="0"/>
        <v>32</v>
      </c>
      <c r="B38" s="21" t="s">
        <v>1232</v>
      </c>
      <c r="C38" s="22" t="s">
        <v>68</v>
      </c>
      <c r="D38" s="12" t="s">
        <v>2017</v>
      </c>
      <c r="E38" s="35" t="s">
        <v>944</v>
      </c>
      <c r="F38" s="35" t="s">
        <v>541</v>
      </c>
      <c r="G38" s="30" t="s">
        <v>2497</v>
      </c>
      <c r="H38" s="35"/>
      <c r="I38" s="118" t="s">
        <v>2018</v>
      </c>
      <c r="J38" s="112" t="s">
        <v>2496</v>
      </c>
      <c r="K38" s="83" t="str">
        <f t="shared" si="8"/>
        <v>Phan Văn</v>
      </c>
      <c r="L38" s="83" t="str">
        <f t="shared" si="9"/>
        <v>Trường</v>
      </c>
    </row>
    <row r="39" spans="1:12" ht="20.25" customHeight="1">
      <c r="A39" s="9">
        <f t="shared" si="0"/>
        <v>33</v>
      </c>
      <c r="B39" s="21" t="s">
        <v>2052</v>
      </c>
      <c r="C39" s="22" t="s">
        <v>2053</v>
      </c>
      <c r="D39" s="12" t="s">
        <v>1444</v>
      </c>
      <c r="E39" s="35" t="s">
        <v>653</v>
      </c>
      <c r="F39" s="35" t="s">
        <v>544</v>
      </c>
      <c r="G39" s="30" t="s">
        <v>2490</v>
      </c>
      <c r="H39" s="35"/>
      <c r="I39" s="118" t="s">
        <v>2072</v>
      </c>
      <c r="J39" s="112" t="s">
        <v>2204</v>
      </c>
      <c r="K39" s="83" t="str">
        <f t="shared" si="8"/>
        <v>Trương Công</v>
      </c>
      <c r="L39" s="83" t="str">
        <f t="shared" si="9"/>
        <v>Viễn</v>
      </c>
    </row>
    <row r="40" spans="1:12" ht="20.25" customHeight="1">
      <c r="A40" s="9">
        <f t="shared" si="0"/>
        <v>34</v>
      </c>
      <c r="B40" s="21" t="s">
        <v>2532</v>
      </c>
      <c r="C40" s="22" t="s">
        <v>172</v>
      </c>
      <c r="D40" s="12">
        <v>39465</v>
      </c>
      <c r="E40" s="35" t="s">
        <v>788</v>
      </c>
      <c r="F40" s="35" t="s">
        <v>544</v>
      </c>
      <c r="G40" s="30" t="s">
        <v>2608</v>
      </c>
      <c r="H40" s="35"/>
      <c r="I40" s="118" t="s">
        <v>2531</v>
      </c>
      <c r="J40" s="112" t="s">
        <v>2204</v>
      </c>
      <c r="K40" s="83" t="str">
        <f t="shared" si="8"/>
        <v>Lê Đức</v>
      </c>
      <c r="L40" s="83" t="str">
        <f t="shared" si="9"/>
        <v>Phú</v>
      </c>
    </row>
    <row r="41" spans="1:12" ht="20.25" customHeight="1">
      <c r="A41" s="9">
        <f t="shared" si="0"/>
        <v>35</v>
      </c>
      <c r="B41" s="21" t="s">
        <v>1778</v>
      </c>
      <c r="C41" s="22" t="s">
        <v>406</v>
      </c>
      <c r="D41" s="12" t="s">
        <v>2556</v>
      </c>
      <c r="E41" s="35" t="s">
        <v>2593</v>
      </c>
      <c r="F41" s="35" t="s">
        <v>553</v>
      </c>
      <c r="G41" s="17" t="s">
        <v>2822</v>
      </c>
      <c r="H41" s="35"/>
      <c r="I41" s="118" t="s">
        <v>2557</v>
      </c>
      <c r="J41" s="112" t="s">
        <v>2204</v>
      </c>
      <c r="K41" s="83" t="str">
        <f t="shared" si="8"/>
        <v>Nguyễn Tấn</v>
      </c>
      <c r="L41" s="83" t="str">
        <f t="shared" si="9"/>
        <v>Trà</v>
      </c>
    </row>
    <row r="42" spans="1:12" ht="20.25" customHeight="1">
      <c r="A42" s="9">
        <f t="shared" si="0"/>
        <v>36</v>
      </c>
      <c r="B42" s="21" t="s">
        <v>2555</v>
      </c>
      <c r="C42" s="22" t="s">
        <v>68</v>
      </c>
      <c r="D42" s="12" t="s">
        <v>1939</v>
      </c>
      <c r="E42" s="35" t="s">
        <v>2593</v>
      </c>
      <c r="F42" s="35" t="s">
        <v>553</v>
      </c>
      <c r="G42" s="17" t="s">
        <v>2821</v>
      </c>
      <c r="H42" s="35"/>
      <c r="I42" s="118" t="s">
        <v>2557</v>
      </c>
      <c r="J42" s="112" t="s">
        <v>2204</v>
      </c>
      <c r="K42" s="83" t="str">
        <f t="shared" ref="K42:K43" si="10">PROPER(B42)</f>
        <v>Văn</v>
      </c>
      <c r="L42" s="83" t="str">
        <f t="shared" ref="L42:L43" si="11">PROPER(C42)</f>
        <v>Trường</v>
      </c>
    </row>
    <row r="43" spans="1:12" ht="20.25" customHeight="1">
      <c r="A43" s="9">
        <f t="shared" si="0"/>
        <v>37</v>
      </c>
      <c r="B43" s="21" t="s">
        <v>1150</v>
      </c>
      <c r="C43" s="22" t="s">
        <v>70</v>
      </c>
      <c r="D43" s="12" t="s">
        <v>2085</v>
      </c>
      <c r="E43" s="35" t="s">
        <v>1014</v>
      </c>
      <c r="F43" s="35" t="s">
        <v>573</v>
      </c>
      <c r="G43" s="17" t="s">
        <v>2823</v>
      </c>
      <c r="H43" s="35"/>
      <c r="I43" s="118" t="s">
        <v>2557</v>
      </c>
      <c r="J43" s="112" t="s">
        <v>2204</v>
      </c>
      <c r="K43" s="83" t="str">
        <f t="shared" si="10"/>
        <v>Trần Văn</v>
      </c>
      <c r="L43" s="83" t="str">
        <f t="shared" si="11"/>
        <v>Anh</v>
      </c>
    </row>
    <row r="44" spans="1:12" ht="20.25" customHeight="1">
      <c r="A44" s="9">
        <f t="shared" si="0"/>
        <v>38</v>
      </c>
      <c r="B44" s="21" t="s">
        <v>1126</v>
      </c>
      <c r="C44" s="22" t="s">
        <v>145</v>
      </c>
      <c r="D44" s="12" t="s">
        <v>1202</v>
      </c>
      <c r="E44" s="35" t="s">
        <v>596</v>
      </c>
      <c r="F44" s="35" t="s">
        <v>544</v>
      </c>
      <c r="G44" s="17" t="s">
        <v>2817</v>
      </c>
      <c r="H44" s="35"/>
      <c r="I44" s="118" t="s">
        <v>2640</v>
      </c>
      <c r="J44" s="112" t="s">
        <v>2204</v>
      </c>
      <c r="K44" s="83" t="str">
        <f t="shared" ref="K44:K46" si="12">PROPER(B44)</f>
        <v>Nguyễn Duy</v>
      </c>
      <c r="L44" s="83" t="str">
        <f t="shared" ref="L44:L46" si="13">PROPER(C44)</f>
        <v>Khánh</v>
      </c>
    </row>
    <row r="45" spans="1:12" ht="20.25" customHeight="1">
      <c r="A45" s="9">
        <f t="shared" si="0"/>
        <v>39</v>
      </c>
      <c r="B45" s="21" t="s">
        <v>524</v>
      </c>
      <c r="C45" s="22" t="s">
        <v>2244</v>
      </c>
      <c r="D45" s="12" t="s">
        <v>1594</v>
      </c>
      <c r="E45" s="35" t="s">
        <v>2201</v>
      </c>
      <c r="F45" s="35" t="s">
        <v>565</v>
      </c>
      <c r="G45" s="17" t="s">
        <v>2818</v>
      </c>
      <c r="H45" s="35"/>
      <c r="I45" s="118" t="s">
        <v>2640</v>
      </c>
      <c r="J45" s="112" t="s">
        <v>2204</v>
      </c>
      <c r="K45" s="83" t="str">
        <f t="shared" si="12"/>
        <v>Nguyễn Đức</v>
      </c>
      <c r="L45" s="83" t="str">
        <f t="shared" si="13"/>
        <v>Tín</v>
      </c>
    </row>
    <row r="46" spans="1:12" ht="20.25" customHeight="1">
      <c r="A46" s="9">
        <f t="shared" si="0"/>
        <v>40</v>
      </c>
      <c r="B46" s="21" t="s">
        <v>2643</v>
      </c>
      <c r="C46" s="22" t="s">
        <v>2644</v>
      </c>
      <c r="D46" s="12" t="s">
        <v>2645</v>
      </c>
      <c r="E46" s="35" t="s">
        <v>665</v>
      </c>
      <c r="F46" s="35" t="s">
        <v>541</v>
      </c>
      <c r="G46" s="17" t="s">
        <v>2820</v>
      </c>
      <c r="H46" s="35"/>
      <c r="I46" s="118" t="s">
        <v>2640</v>
      </c>
      <c r="J46" s="112" t="s">
        <v>2819</v>
      </c>
      <c r="K46" s="83" t="str">
        <f t="shared" si="12"/>
        <v>Dương Lê Ngọc</v>
      </c>
      <c r="L46" s="83" t="str">
        <f t="shared" si="13"/>
        <v>Thông</v>
      </c>
    </row>
    <row r="47" spans="1:12" ht="20.25" customHeight="1">
      <c r="A47" s="9">
        <f t="shared" si="0"/>
        <v>41</v>
      </c>
      <c r="B47" s="21" t="s">
        <v>1815</v>
      </c>
      <c r="C47" s="22" t="s">
        <v>224</v>
      </c>
      <c r="D47" s="12" t="s">
        <v>2840</v>
      </c>
      <c r="E47" s="35" t="s">
        <v>3097</v>
      </c>
      <c r="F47" s="35" t="s">
        <v>556</v>
      </c>
      <c r="G47" s="30" t="s">
        <v>3098</v>
      </c>
      <c r="H47" s="35"/>
      <c r="I47" s="118" t="s">
        <v>2841</v>
      </c>
      <c r="J47" s="112" t="s">
        <v>2204</v>
      </c>
      <c r="K47" s="83" t="str">
        <f t="shared" ref="K47:K50" si="14">PROPER(B47)</f>
        <v>Phạm Ngọc</v>
      </c>
      <c r="L47" s="83" t="str">
        <f t="shared" ref="L47:L50" si="15">PROPER(C47)</f>
        <v>Trí</v>
      </c>
    </row>
    <row r="48" spans="1:12" ht="20.25" customHeight="1">
      <c r="A48" s="9">
        <f t="shared" si="0"/>
        <v>42</v>
      </c>
      <c r="B48" s="21" t="s">
        <v>1888</v>
      </c>
      <c r="C48" s="22" t="s">
        <v>88</v>
      </c>
      <c r="D48" s="12" t="s">
        <v>2118</v>
      </c>
      <c r="E48" s="35" t="s">
        <v>2201</v>
      </c>
      <c r="F48" s="35" t="s">
        <v>565</v>
      </c>
      <c r="G48" s="30" t="s">
        <v>3087</v>
      </c>
      <c r="H48" s="35"/>
      <c r="I48" s="118" t="s">
        <v>2841</v>
      </c>
      <c r="J48" s="112" t="s">
        <v>2204</v>
      </c>
      <c r="K48" s="83" t="str">
        <f t="shared" si="14"/>
        <v>Phan Duy</v>
      </c>
      <c r="L48" s="83" t="str">
        <f t="shared" si="15"/>
        <v>Hiệp</v>
      </c>
    </row>
    <row r="49" spans="1:12" ht="20.25" customHeight="1">
      <c r="A49" s="9">
        <f t="shared" si="0"/>
        <v>43</v>
      </c>
      <c r="B49" s="21" t="s">
        <v>2955</v>
      </c>
      <c r="C49" s="22" t="s">
        <v>1079</v>
      </c>
      <c r="D49" s="12">
        <v>39603</v>
      </c>
      <c r="E49" s="35" t="s">
        <v>628</v>
      </c>
      <c r="F49" s="35" t="s">
        <v>631</v>
      </c>
      <c r="G49" s="30" t="s">
        <v>3114</v>
      </c>
      <c r="H49" s="35"/>
      <c r="I49" s="118" t="s">
        <v>2954</v>
      </c>
      <c r="J49" s="117" t="s">
        <v>3465</v>
      </c>
      <c r="K49" s="83" t="str">
        <f t="shared" si="14"/>
        <v>Trương Viết</v>
      </c>
      <c r="L49" s="83" t="str">
        <f t="shared" si="15"/>
        <v>Mẫn</v>
      </c>
    </row>
    <row r="50" spans="1:12" ht="20.25" customHeight="1">
      <c r="A50" s="9">
        <f t="shared" si="0"/>
        <v>44</v>
      </c>
      <c r="B50" s="21" t="s">
        <v>3030</v>
      </c>
      <c r="C50" s="22" t="s">
        <v>15</v>
      </c>
      <c r="D50" s="12">
        <v>39781</v>
      </c>
      <c r="E50" s="35" t="s">
        <v>3106</v>
      </c>
      <c r="F50" s="35" t="s">
        <v>631</v>
      </c>
      <c r="G50" s="30" t="s">
        <v>3115</v>
      </c>
      <c r="H50" s="35"/>
      <c r="I50" s="118" t="s">
        <v>3029</v>
      </c>
      <c r="J50" s="112" t="s">
        <v>3466</v>
      </c>
      <c r="K50" s="83" t="str">
        <f t="shared" si="14"/>
        <v>Nguyễn Kim</v>
      </c>
      <c r="L50" s="83" t="str">
        <f t="shared" si="15"/>
        <v>Bình</v>
      </c>
    </row>
    <row r="51" spans="1:12" ht="20.25" customHeight="1">
      <c r="A51" s="9">
        <f t="shared" si="0"/>
        <v>45</v>
      </c>
      <c r="B51" s="21" t="s">
        <v>102</v>
      </c>
      <c r="C51" s="22" t="s">
        <v>17</v>
      </c>
      <c r="D51" s="92" t="s">
        <v>1527</v>
      </c>
      <c r="E51" s="35" t="s">
        <v>3148</v>
      </c>
      <c r="F51" s="35" t="s">
        <v>573</v>
      </c>
      <c r="G51" s="30" t="s">
        <v>3149</v>
      </c>
      <c r="H51" s="35"/>
      <c r="I51" s="118" t="s">
        <v>3070</v>
      </c>
      <c r="J51" s="112" t="s">
        <v>2204</v>
      </c>
      <c r="K51" s="83" t="str">
        <f t="shared" ref="K51" si="16">PROPER(B51)</f>
        <v xml:space="preserve">Phạm Công </v>
      </c>
      <c r="L51" s="83" t="str">
        <f t="shared" ref="L51" si="17">PROPER(C51)</f>
        <v>Hoàng</v>
      </c>
    </row>
    <row r="52" spans="1:12" ht="20.25" customHeight="1">
      <c r="A52" s="9">
        <f t="shared" si="0"/>
        <v>46</v>
      </c>
      <c r="B52" s="21" t="s">
        <v>2765</v>
      </c>
      <c r="C52" s="22" t="s">
        <v>17</v>
      </c>
      <c r="D52" s="244">
        <v>39612</v>
      </c>
      <c r="E52" s="35" t="s">
        <v>800</v>
      </c>
      <c r="F52" s="35" t="s">
        <v>541</v>
      </c>
      <c r="G52" s="30" t="s">
        <v>2814</v>
      </c>
      <c r="H52" s="36" t="s">
        <v>3269</v>
      </c>
      <c r="I52" s="118" t="s">
        <v>2759</v>
      </c>
      <c r="J52" s="112" t="s">
        <v>2204</v>
      </c>
      <c r="K52" s="83" t="e">
        <f>PROPER(#REF!)</f>
        <v>#REF!</v>
      </c>
      <c r="L52" s="83" t="e">
        <f>PROPER(#REF!)</f>
        <v>#REF!</v>
      </c>
    </row>
    <row r="53" spans="1:12" ht="20.25" customHeight="1">
      <c r="A53" s="9">
        <f t="shared" si="0"/>
        <v>47</v>
      </c>
      <c r="B53" s="21" t="s">
        <v>2113</v>
      </c>
      <c r="C53" s="22" t="s">
        <v>88</v>
      </c>
      <c r="D53" s="244" t="s">
        <v>1729</v>
      </c>
      <c r="E53" s="35" t="s">
        <v>1185</v>
      </c>
      <c r="F53" s="35" t="s">
        <v>553</v>
      </c>
      <c r="G53" s="30" t="s">
        <v>2717</v>
      </c>
      <c r="H53" s="36" t="s">
        <v>3330</v>
      </c>
      <c r="I53" s="118" t="s">
        <v>2106</v>
      </c>
      <c r="J53" s="112" t="s">
        <v>2204</v>
      </c>
      <c r="K53" s="83"/>
      <c r="L53" s="83"/>
    </row>
    <row r="54" spans="1:12" ht="20.25" customHeight="1">
      <c r="A54" s="9">
        <f t="shared" si="0"/>
        <v>48</v>
      </c>
      <c r="B54" s="21" t="s">
        <v>3495</v>
      </c>
      <c r="C54" s="22" t="s">
        <v>128</v>
      </c>
      <c r="D54" s="244">
        <v>39809</v>
      </c>
      <c r="E54" s="35" t="s">
        <v>868</v>
      </c>
      <c r="F54" s="35" t="s">
        <v>541</v>
      </c>
      <c r="G54" s="30" t="s">
        <v>3496</v>
      </c>
      <c r="H54" s="36"/>
      <c r="I54" s="118" t="s">
        <v>3493</v>
      </c>
      <c r="J54" s="112" t="s">
        <v>2220</v>
      </c>
      <c r="K54" s="83"/>
      <c r="L54" s="83"/>
    </row>
  </sheetData>
  <sortState ref="B7:I43">
    <sortCondition ref="C7:C43"/>
  </sortState>
  <mergeCells count="8">
    <mergeCell ref="B6:C6"/>
    <mergeCell ref="E6:F6"/>
    <mergeCell ref="A1:D1"/>
    <mergeCell ref="E1:H1"/>
    <mergeCell ref="A2:D2"/>
    <mergeCell ref="E2:H2"/>
    <mergeCell ref="A4:H4"/>
    <mergeCell ref="A5:H5"/>
  </mergeCells>
  <pageMargins left="0.2" right="0.2" top="0.35" bottom="0.31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opLeftCell="A28" workbookViewId="0">
      <selection activeCell="B40" sqref="B40:D40"/>
    </sheetView>
  </sheetViews>
  <sheetFormatPr defaultRowHeight="15"/>
  <cols>
    <col min="1" max="1" width="5.28515625" style="1" customWidth="1"/>
    <col min="2" max="2" width="19.7109375" style="1" customWidth="1"/>
    <col min="3" max="3" width="8.28515625" style="1" customWidth="1"/>
    <col min="4" max="4" width="9.85546875" style="1" customWidth="1"/>
    <col min="5" max="6" width="18.42578125" style="1" customWidth="1"/>
    <col min="7" max="7" width="17" style="1" bestFit="1" customWidth="1"/>
    <col min="8" max="8" width="21.85546875" style="1" customWidth="1"/>
    <col min="9" max="9" width="21.5703125" style="156" customWidth="1"/>
    <col min="10" max="10" width="16" style="1" customWidth="1"/>
    <col min="11" max="16384" width="9.140625" style="1"/>
  </cols>
  <sheetData>
    <row r="1" spans="1:9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  <c r="I1" s="166"/>
    </row>
    <row r="2" spans="1:9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  <c r="I2" s="166"/>
    </row>
    <row r="3" spans="1:9" ht="15.75" customHeight="1">
      <c r="A3" s="2"/>
      <c r="B3" s="3"/>
      <c r="C3" s="3"/>
      <c r="D3" s="3"/>
    </row>
    <row r="4" spans="1:9" ht="15.75" customHeight="1">
      <c r="A4" s="308" t="s">
        <v>10</v>
      </c>
      <c r="B4" s="308"/>
      <c r="C4" s="308"/>
      <c r="D4" s="308"/>
      <c r="E4" s="308"/>
      <c r="F4" s="308"/>
      <c r="G4" s="308"/>
      <c r="H4" s="308"/>
      <c r="I4" s="167"/>
    </row>
    <row r="5" spans="1:9" s="4" customFormat="1" ht="23.25" customHeight="1">
      <c r="A5" s="309" t="s">
        <v>227</v>
      </c>
      <c r="B5" s="309"/>
      <c r="C5" s="309"/>
      <c r="D5" s="309"/>
      <c r="E5" s="309"/>
      <c r="F5" s="309"/>
      <c r="G5" s="309"/>
      <c r="H5" s="309"/>
      <c r="I5" s="168"/>
    </row>
    <row r="6" spans="1:9" s="8" customFormat="1" ht="45.75" customHeight="1">
      <c r="A6" s="5" t="s">
        <v>4</v>
      </c>
      <c r="B6" s="302" t="s">
        <v>5</v>
      </c>
      <c r="C6" s="303"/>
      <c r="D6" s="6" t="s">
        <v>6</v>
      </c>
      <c r="E6" s="312" t="s">
        <v>11</v>
      </c>
      <c r="F6" s="313"/>
      <c r="G6" s="5" t="s">
        <v>8</v>
      </c>
      <c r="H6" s="5" t="s">
        <v>7</v>
      </c>
      <c r="I6" s="5" t="s">
        <v>2219</v>
      </c>
    </row>
    <row r="7" spans="1:9" s="8" customFormat="1" ht="19.5" customHeight="1">
      <c r="A7" s="9">
        <f>ROW()-6</f>
        <v>1</v>
      </c>
      <c r="B7" s="21" t="s">
        <v>1344</v>
      </c>
      <c r="C7" s="22" t="s">
        <v>94</v>
      </c>
      <c r="D7" s="12">
        <v>39781</v>
      </c>
      <c r="E7" s="35" t="s">
        <v>681</v>
      </c>
      <c r="F7" s="35" t="s">
        <v>544</v>
      </c>
      <c r="G7" s="17" t="s">
        <v>2578</v>
      </c>
      <c r="H7" s="13"/>
      <c r="I7" s="35" t="s">
        <v>2204</v>
      </c>
    </row>
    <row r="8" spans="1:9" s="8" customFormat="1" ht="19.5" customHeight="1">
      <c r="A8" s="9">
        <f t="shared" ref="A8:A58" si="0">ROW()-6</f>
        <v>2</v>
      </c>
      <c r="B8" s="21" t="s">
        <v>2001</v>
      </c>
      <c r="C8" s="22" t="s">
        <v>70</v>
      </c>
      <c r="D8" s="12" t="s">
        <v>2002</v>
      </c>
      <c r="E8" s="35" t="s">
        <v>1436</v>
      </c>
      <c r="F8" s="35" t="s">
        <v>573</v>
      </c>
      <c r="G8" s="17" t="s">
        <v>2597</v>
      </c>
      <c r="H8" s="13" t="s">
        <v>1955</v>
      </c>
      <c r="I8" s="35" t="s">
        <v>2204</v>
      </c>
    </row>
    <row r="9" spans="1:9" s="8" customFormat="1" ht="19.5" customHeight="1">
      <c r="A9" s="9">
        <f t="shared" si="0"/>
        <v>3</v>
      </c>
      <c r="B9" s="21" t="s">
        <v>1948</v>
      </c>
      <c r="C9" s="22" t="s">
        <v>1949</v>
      </c>
      <c r="D9" s="12" t="s">
        <v>1531</v>
      </c>
      <c r="E9" s="35" t="s">
        <v>624</v>
      </c>
      <c r="F9" s="35" t="s">
        <v>541</v>
      </c>
      <c r="G9" s="17" t="s">
        <v>2592</v>
      </c>
      <c r="H9" s="13" t="s">
        <v>1936</v>
      </c>
      <c r="I9" s="35" t="s">
        <v>2204</v>
      </c>
    </row>
    <row r="10" spans="1:9" s="8" customFormat="1" ht="19.5" customHeight="1">
      <c r="A10" s="9">
        <f t="shared" si="0"/>
        <v>4</v>
      </c>
      <c r="B10" s="21" t="s">
        <v>241</v>
      </c>
      <c r="C10" s="22" t="s">
        <v>242</v>
      </c>
      <c r="D10" s="12">
        <v>39733</v>
      </c>
      <c r="E10" s="35" t="s">
        <v>676</v>
      </c>
      <c r="F10" s="35" t="s">
        <v>541</v>
      </c>
      <c r="G10" s="17" t="s">
        <v>1426</v>
      </c>
      <c r="H10" s="13"/>
      <c r="I10" s="35" t="s">
        <v>2204</v>
      </c>
    </row>
    <row r="11" spans="1:9" s="8" customFormat="1" ht="19.5" customHeight="1">
      <c r="A11" s="9">
        <f t="shared" si="0"/>
        <v>5</v>
      </c>
      <c r="B11" s="21" t="s">
        <v>238</v>
      </c>
      <c r="C11" s="22" t="s">
        <v>25</v>
      </c>
      <c r="D11" s="12">
        <v>39775</v>
      </c>
      <c r="E11" s="35" t="s">
        <v>725</v>
      </c>
      <c r="F11" s="35" t="s">
        <v>541</v>
      </c>
      <c r="G11" s="17" t="s">
        <v>980</v>
      </c>
      <c r="H11" s="13"/>
      <c r="I11" s="35" t="s">
        <v>2207</v>
      </c>
    </row>
    <row r="12" spans="1:9" s="8" customFormat="1" ht="19.5" customHeight="1">
      <c r="A12" s="9">
        <f t="shared" si="0"/>
        <v>6</v>
      </c>
      <c r="B12" s="21" t="s">
        <v>1343</v>
      </c>
      <c r="C12" s="22" t="s">
        <v>66</v>
      </c>
      <c r="D12" s="12" t="s">
        <v>1347</v>
      </c>
      <c r="E12" s="35" t="s">
        <v>2137</v>
      </c>
      <c r="F12" s="35" t="s">
        <v>553</v>
      </c>
      <c r="G12" s="17" t="s">
        <v>2138</v>
      </c>
      <c r="H12" s="13"/>
      <c r="I12" s="35" t="s">
        <v>2204</v>
      </c>
    </row>
    <row r="13" spans="1:9" s="8" customFormat="1" ht="19.5" customHeight="1">
      <c r="A13" s="9">
        <f t="shared" si="0"/>
        <v>7</v>
      </c>
      <c r="B13" s="21" t="s">
        <v>231</v>
      </c>
      <c r="C13" s="22" t="s">
        <v>232</v>
      </c>
      <c r="D13" s="12">
        <v>39526</v>
      </c>
      <c r="E13" s="35" t="s">
        <v>917</v>
      </c>
      <c r="F13" s="35" t="s">
        <v>544</v>
      </c>
      <c r="G13" s="17" t="s">
        <v>1427</v>
      </c>
      <c r="H13" s="13"/>
      <c r="I13" s="35" t="s">
        <v>2204</v>
      </c>
    </row>
    <row r="14" spans="1:9" s="8" customFormat="1" ht="19.5" customHeight="1">
      <c r="A14" s="9">
        <f t="shared" si="0"/>
        <v>8</v>
      </c>
      <c r="B14" s="21" t="s">
        <v>229</v>
      </c>
      <c r="C14" s="22" t="s">
        <v>42</v>
      </c>
      <c r="D14" s="12">
        <v>39715</v>
      </c>
      <c r="E14" s="35" t="s">
        <v>734</v>
      </c>
      <c r="F14" s="35" t="s">
        <v>573</v>
      </c>
      <c r="G14" s="17" t="s">
        <v>2575</v>
      </c>
      <c r="H14" s="13"/>
      <c r="I14" s="35" t="s">
        <v>2204</v>
      </c>
    </row>
    <row r="15" spans="1:9" s="8" customFormat="1" ht="19.5" customHeight="1">
      <c r="A15" s="9">
        <f t="shared" si="0"/>
        <v>9</v>
      </c>
      <c r="B15" s="21" t="s">
        <v>245</v>
      </c>
      <c r="C15" s="22" t="s">
        <v>42</v>
      </c>
      <c r="D15" s="12">
        <v>39217</v>
      </c>
      <c r="E15" s="35" t="s">
        <v>1428</v>
      </c>
      <c r="F15" s="35" t="s">
        <v>817</v>
      </c>
      <c r="G15" s="17" t="s">
        <v>818</v>
      </c>
      <c r="H15" s="13"/>
      <c r="I15" s="35" t="s">
        <v>2204</v>
      </c>
    </row>
    <row r="16" spans="1:9" s="8" customFormat="1" ht="19.5" customHeight="1">
      <c r="A16" s="9">
        <f t="shared" si="0"/>
        <v>10</v>
      </c>
      <c r="B16" s="21" t="s">
        <v>246</v>
      </c>
      <c r="C16" s="22" t="s">
        <v>42</v>
      </c>
      <c r="D16" s="12">
        <v>39493</v>
      </c>
      <c r="E16" s="35" t="s">
        <v>664</v>
      </c>
      <c r="F16" s="35" t="s">
        <v>541</v>
      </c>
      <c r="G16" s="17" t="s">
        <v>819</v>
      </c>
      <c r="H16" s="13" t="s">
        <v>578</v>
      </c>
      <c r="I16" s="35" t="s">
        <v>2204</v>
      </c>
    </row>
    <row r="17" spans="1:11" s="8" customFormat="1" ht="19.5" customHeight="1">
      <c r="A17" s="9">
        <f t="shared" si="0"/>
        <v>11</v>
      </c>
      <c r="B17" s="21" t="s">
        <v>234</v>
      </c>
      <c r="C17" s="22" t="s">
        <v>17</v>
      </c>
      <c r="D17" s="12">
        <v>39699</v>
      </c>
      <c r="E17" s="35" t="s">
        <v>815</v>
      </c>
      <c r="F17" s="35" t="s">
        <v>573</v>
      </c>
      <c r="G17" s="17" t="s">
        <v>816</v>
      </c>
      <c r="H17" s="13"/>
      <c r="I17" s="35" t="s">
        <v>2215</v>
      </c>
    </row>
    <row r="18" spans="1:11" s="8" customFormat="1" ht="19.5" customHeight="1">
      <c r="A18" s="9">
        <f t="shared" si="0"/>
        <v>12</v>
      </c>
      <c r="B18" s="21" t="s">
        <v>236</v>
      </c>
      <c r="C18" s="22" t="s">
        <v>123</v>
      </c>
      <c r="D18" s="12">
        <v>39770</v>
      </c>
      <c r="E18" s="35" t="s">
        <v>812</v>
      </c>
      <c r="F18" s="13" t="s">
        <v>541</v>
      </c>
      <c r="G18" s="17" t="s">
        <v>814</v>
      </c>
      <c r="H18" s="13"/>
      <c r="I18" s="35" t="s">
        <v>2204</v>
      </c>
    </row>
    <row r="19" spans="1:11" s="8" customFormat="1" ht="19.5" customHeight="1">
      <c r="A19" s="9">
        <f t="shared" si="0"/>
        <v>13</v>
      </c>
      <c r="B19" s="21" t="s">
        <v>1342</v>
      </c>
      <c r="C19" s="22" t="s">
        <v>166</v>
      </c>
      <c r="D19" s="12" t="s">
        <v>1346</v>
      </c>
      <c r="E19" s="35" t="s">
        <v>579</v>
      </c>
      <c r="F19" s="35" t="s">
        <v>541</v>
      </c>
      <c r="G19" s="17" t="s">
        <v>2579</v>
      </c>
      <c r="H19" s="13"/>
      <c r="I19" s="35" t="s">
        <v>2207</v>
      </c>
    </row>
    <row r="20" spans="1:11" s="8" customFormat="1" ht="19.5" customHeight="1">
      <c r="A20" s="9">
        <f t="shared" si="0"/>
        <v>14</v>
      </c>
      <c r="B20" s="21" t="s">
        <v>2029</v>
      </c>
      <c r="C20" s="22" t="s">
        <v>128</v>
      </c>
      <c r="D20" s="12" t="s">
        <v>1252</v>
      </c>
      <c r="E20" s="35" t="s">
        <v>664</v>
      </c>
      <c r="F20" s="35" t="s">
        <v>541</v>
      </c>
      <c r="G20" s="17" t="s">
        <v>2591</v>
      </c>
      <c r="H20" s="13" t="s">
        <v>2018</v>
      </c>
      <c r="I20" s="35" t="s">
        <v>2204</v>
      </c>
    </row>
    <row r="21" spans="1:11" s="8" customFormat="1" ht="19.5" customHeight="1">
      <c r="A21" s="9">
        <f t="shared" si="0"/>
        <v>15</v>
      </c>
      <c r="B21" s="21" t="s">
        <v>2086</v>
      </c>
      <c r="C21" s="22" t="s">
        <v>128</v>
      </c>
      <c r="D21" s="12" t="s">
        <v>2088</v>
      </c>
      <c r="E21" s="35" t="s">
        <v>579</v>
      </c>
      <c r="F21" s="35" t="s">
        <v>541</v>
      </c>
      <c r="G21" s="17" t="s">
        <v>2596</v>
      </c>
      <c r="H21" s="13" t="s">
        <v>2072</v>
      </c>
      <c r="I21" s="35" t="s">
        <v>2204</v>
      </c>
    </row>
    <row r="22" spans="1:11" s="8" customFormat="1" ht="19.5" customHeight="1">
      <c r="A22" s="9">
        <f t="shared" si="0"/>
        <v>16</v>
      </c>
      <c r="B22" s="21" t="s">
        <v>1470</v>
      </c>
      <c r="C22" s="22" t="s">
        <v>128</v>
      </c>
      <c r="D22" s="12" t="s">
        <v>2386</v>
      </c>
      <c r="E22" s="35" t="s">
        <v>637</v>
      </c>
      <c r="F22" s="35" t="s">
        <v>541</v>
      </c>
      <c r="G22" s="17" t="s">
        <v>2589</v>
      </c>
      <c r="H22" s="13" t="s">
        <v>2359</v>
      </c>
      <c r="I22" s="35" t="s">
        <v>2204</v>
      </c>
    </row>
    <row r="23" spans="1:11" s="8" customFormat="1" ht="19.5" customHeight="1">
      <c r="A23" s="9">
        <f t="shared" si="0"/>
        <v>17</v>
      </c>
      <c r="B23" s="21" t="s">
        <v>87</v>
      </c>
      <c r="C23" s="22" t="s">
        <v>235</v>
      </c>
      <c r="D23" s="12">
        <v>39665</v>
      </c>
      <c r="E23" s="35" t="s">
        <v>812</v>
      </c>
      <c r="F23" s="13" t="s">
        <v>541</v>
      </c>
      <c r="G23" s="17" t="s">
        <v>813</v>
      </c>
      <c r="H23" s="13"/>
      <c r="I23" s="35" t="s">
        <v>2204</v>
      </c>
    </row>
    <row r="24" spans="1:11" s="8" customFormat="1" ht="19.5" customHeight="1">
      <c r="A24" s="9">
        <f t="shared" si="0"/>
        <v>18</v>
      </c>
      <c r="B24" s="26" t="s">
        <v>247</v>
      </c>
      <c r="C24" s="27" t="s">
        <v>145</v>
      </c>
      <c r="D24" s="12">
        <v>39598</v>
      </c>
      <c r="E24" s="35" t="s">
        <v>788</v>
      </c>
      <c r="F24" s="35" t="s">
        <v>544</v>
      </c>
      <c r="G24" s="17" t="s">
        <v>1062</v>
      </c>
      <c r="H24" s="13"/>
      <c r="I24" s="35" t="s">
        <v>2204</v>
      </c>
    </row>
    <row r="25" spans="1:11" s="8" customFormat="1" ht="19.5" customHeight="1">
      <c r="A25" s="9">
        <f t="shared" si="0"/>
        <v>19</v>
      </c>
      <c r="B25" s="21" t="s">
        <v>233</v>
      </c>
      <c r="C25" s="22" t="s">
        <v>60</v>
      </c>
      <c r="D25" s="12">
        <v>39716</v>
      </c>
      <c r="E25" s="35" t="s">
        <v>664</v>
      </c>
      <c r="F25" s="35" t="s">
        <v>541</v>
      </c>
      <c r="G25" s="17" t="s">
        <v>1429</v>
      </c>
      <c r="H25" s="13"/>
      <c r="I25" s="35" t="s">
        <v>2204</v>
      </c>
    </row>
    <row r="26" spans="1:11" s="8" customFormat="1" ht="19.5" customHeight="1">
      <c r="A26" s="9">
        <f t="shared" si="0"/>
        <v>20</v>
      </c>
      <c r="B26" s="21" t="s">
        <v>239</v>
      </c>
      <c r="C26" s="22" t="s">
        <v>240</v>
      </c>
      <c r="D26" s="12">
        <v>39659</v>
      </c>
      <c r="E26" s="35" t="s">
        <v>637</v>
      </c>
      <c r="F26" s="35" t="s">
        <v>541</v>
      </c>
      <c r="G26" s="17" t="s">
        <v>1430</v>
      </c>
      <c r="H26" s="13"/>
      <c r="I26" s="35" t="s">
        <v>2204</v>
      </c>
    </row>
    <row r="27" spans="1:11" s="8" customFormat="1" ht="19.5" customHeight="1">
      <c r="A27" s="9">
        <f t="shared" si="0"/>
        <v>21</v>
      </c>
      <c r="B27" s="21" t="s">
        <v>2385</v>
      </c>
      <c r="C27" s="22" t="s">
        <v>478</v>
      </c>
      <c r="D27" s="12" t="s">
        <v>2387</v>
      </c>
      <c r="E27" s="35" t="s">
        <v>624</v>
      </c>
      <c r="F27" s="35" t="s">
        <v>549</v>
      </c>
      <c r="G27" s="17" t="s">
        <v>2590</v>
      </c>
      <c r="H27" s="13" t="s">
        <v>2359</v>
      </c>
      <c r="I27" s="35" t="s">
        <v>2204</v>
      </c>
    </row>
    <row r="28" spans="1:11" s="8" customFormat="1" ht="19.5" customHeight="1">
      <c r="A28" s="9">
        <f t="shared" si="0"/>
        <v>22</v>
      </c>
      <c r="B28" s="21" t="s">
        <v>1076</v>
      </c>
      <c r="C28" s="22" t="s">
        <v>208</v>
      </c>
      <c r="D28" s="12">
        <v>39663</v>
      </c>
      <c r="E28" s="35" t="s">
        <v>968</v>
      </c>
      <c r="F28" s="35" t="s">
        <v>573</v>
      </c>
      <c r="G28" s="17" t="s">
        <v>2576</v>
      </c>
      <c r="H28" s="13"/>
      <c r="I28" s="35" t="s">
        <v>2204</v>
      </c>
    </row>
    <row r="29" spans="1:11" s="8" customFormat="1" ht="19.5" customHeight="1">
      <c r="A29" s="9">
        <f t="shared" si="0"/>
        <v>23</v>
      </c>
      <c r="B29" s="21" t="s">
        <v>1409</v>
      </c>
      <c r="C29" s="22" t="s">
        <v>1410</v>
      </c>
      <c r="D29" s="12" t="s">
        <v>1412</v>
      </c>
      <c r="E29" s="35" t="s">
        <v>1648</v>
      </c>
      <c r="F29" s="35" t="s">
        <v>541</v>
      </c>
      <c r="G29" s="17" t="s">
        <v>1649</v>
      </c>
      <c r="H29" s="13"/>
      <c r="I29" s="35" t="s">
        <v>2204</v>
      </c>
    </row>
    <row r="30" spans="1:11" s="8" customFormat="1" ht="19.5" customHeight="1">
      <c r="A30" s="9">
        <f t="shared" si="0"/>
        <v>24</v>
      </c>
      <c r="B30" s="21" t="s">
        <v>1232</v>
      </c>
      <c r="C30" s="22" t="s">
        <v>90</v>
      </c>
      <c r="D30" s="12">
        <v>39525</v>
      </c>
      <c r="E30" s="35" t="s">
        <v>862</v>
      </c>
      <c r="F30" s="35" t="s">
        <v>573</v>
      </c>
      <c r="G30" s="17" t="s">
        <v>2724</v>
      </c>
      <c r="H30" s="13" t="s">
        <v>1862</v>
      </c>
      <c r="I30" s="35" t="s">
        <v>2204</v>
      </c>
    </row>
    <row r="31" spans="1:11" s="8" customFormat="1" ht="19.5" customHeight="1">
      <c r="A31" s="9">
        <f t="shared" si="0"/>
        <v>25</v>
      </c>
      <c r="B31" s="21" t="s">
        <v>534</v>
      </c>
      <c r="C31" s="22" t="s">
        <v>100</v>
      </c>
      <c r="D31" s="12">
        <v>39770</v>
      </c>
      <c r="E31" s="35" t="s">
        <v>2583</v>
      </c>
      <c r="F31" s="35" t="s">
        <v>573</v>
      </c>
      <c r="G31" s="17" t="s">
        <v>2584</v>
      </c>
      <c r="H31" s="13" t="s">
        <v>1833</v>
      </c>
      <c r="I31" s="35" t="s">
        <v>2204</v>
      </c>
    </row>
    <row r="32" spans="1:11" s="8" customFormat="1" ht="19.5" customHeight="1">
      <c r="A32" s="9">
        <f t="shared" si="0"/>
        <v>26</v>
      </c>
      <c r="B32" s="21" t="s">
        <v>2271</v>
      </c>
      <c r="C32" s="22" t="s">
        <v>100</v>
      </c>
      <c r="D32" s="12" t="s">
        <v>2272</v>
      </c>
      <c r="E32" s="35" t="s">
        <v>2520</v>
      </c>
      <c r="F32" s="35" t="s">
        <v>573</v>
      </c>
      <c r="G32" s="17" t="s">
        <v>2588</v>
      </c>
      <c r="H32" s="13" t="s">
        <v>2243</v>
      </c>
      <c r="I32" s="35" t="s">
        <v>2204</v>
      </c>
      <c r="J32" s="8" t="str">
        <f>PROPER(B32)</f>
        <v>Hoàng Quang</v>
      </c>
      <c r="K32" s="8" t="str">
        <f>PROPER(C32)</f>
        <v>Minh</v>
      </c>
    </row>
    <row r="33" spans="1:11" s="8" customFormat="1" ht="19.5" customHeight="1">
      <c r="A33" s="9">
        <f t="shared" si="0"/>
        <v>27</v>
      </c>
      <c r="B33" s="21" t="s">
        <v>1209</v>
      </c>
      <c r="C33" s="22" t="s">
        <v>9</v>
      </c>
      <c r="D33" s="12" t="s">
        <v>1227</v>
      </c>
      <c r="E33" s="35" t="s">
        <v>2599</v>
      </c>
      <c r="F33" s="35" t="s">
        <v>731</v>
      </c>
      <c r="G33" s="17" t="s">
        <v>2600</v>
      </c>
      <c r="H33" s="13" t="s">
        <v>1936</v>
      </c>
      <c r="I33" s="35" t="s">
        <v>2207</v>
      </c>
      <c r="J33" s="8" t="str">
        <f t="shared" ref="J33:J40" si="1">PROPER(B33)</f>
        <v>Nguyễn Thành</v>
      </c>
      <c r="K33" s="8" t="str">
        <f t="shared" ref="K33:K40" si="2">PROPER(C33)</f>
        <v>Nam</v>
      </c>
    </row>
    <row r="34" spans="1:11" s="8" customFormat="1" ht="19.5" customHeight="1">
      <c r="A34" s="9">
        <f t="shared" si="0"/>
        <v>28</v>
      </c>
      <c r="B34" s="21" t="s">
        <v>250</v>
      </c>
      <c r="C34" s="22" t="s">
        <v>92</v>
      </c>
      <c r="D34" s="12">
        <v>39554</v>
      </c>
      <c r="E34" s="35" t="s">
        <v>1029</v>
      </c>
      <c r="F34" s="35" t="s">
        <v>573</v>
      </c>
      <c r="G34" s="17" t="s">
        <v>1030</v>
      </c>
      <c r="H34" s="13"/>
      <c r="I34" s="35" t="s">
        <v>2215</v>
      </c>
      <c r="J34" s="8" t="str">
        <f t="shared" si="1"/>
        <v xml:space="preserve">Võ Thiện </v>
      </c>
      <c r="K34" s="8" t="str">
        <f t="shared" si="2"/>
        <v>Nhân</v>
      </c>
    </row>
    <row r="35" spans="1:11" s="8" customFormat="1" ht="19.5" customHeight="1">
      <c r="A35" s="9">
        <f t="shared" si="0"/>
        <v>29</v>
      </c>
      <c r="B35" s="21" t="s">
        <v>243</v>
      </c>
      <c r="C35" s="22" t="s">
        <v>244</v>
      </c>
      <c r="D35" s="12">
        <v>39479</v>
      </c>
      <c r="E35" s="35" t="s">
        <v>781</v>
      </c>
      <c r="F35" s="35" t="s">
        <v>556</v>
      </c>
      <c r="G35" s="17" t="s">
        <v>811</v>
      </c>
      <c r="H35" s="33" t="s">
        <v>2602</v>
      </c>
      <c r="I35" s="35" t="s">
        <v>2204</v>
      </c>
      <c r="J35" s="8" t="str">
        <f t="shared" si="1"/>
        <v xml:space="preserve">Đỗ Ngọc </v>
      </c>
      <c r="K35" s="8" t="str">
        <f t="shared" si="2"/>
        <v>Nhất</v>
      </c>
    </row>
    <row r="36" spans="1:11" s="8" customFormat="1" ht="19.5" customHeight="1">
      <c r="A36" s="9">
        <f t="shared" si="0"/>
        <v>30</v>
      </c>
      <c r="B36" s="21" t="s">
        <v>203</v>
      </c>
      <c r="C36" s="22" t="s">
        <v>74</v>
      </c>
      <c r="D36" s="12">
        <v>39632</v>
      </c>
      <c r="E36" s="35" t="s">
        <v>893</v>
      </c>
      <c r="F36" s="35" t="s">
        <v>544</v>
      </c>
      <c r="G36" s="17" t="s">
        <v>1431</v>
      </c>
      <c r="H36" s="13"/>
      <c r="I36" s="35" t="s">
        <v>2204</v>
      </c>
      <c r="J36" s="8" t="str">
        <f t="shared" si="1"/>
        <v xml:space="preserve">Nguyễn Quốc </v>
      </c>
      <c r="K36" s="8" t="str">
        <f t="shared" si="2"/>
        <v>Nhật</v>
      </c>
    </row>
    <row r="37" spans="1:11" s="8" customFormat="1" ht="19.5" customHeight="1">
      <c r="A37" s="9">
        <f t="shared" si="0"/>
        <v>31</v>
      </c>
      <c r="B37" s="21" t="s">
        <v>228</v>
      </c>
      <c r="C37" s="22" t="s">
        <v>96</v>
      </c>
      <c r="D37" s="12">
        <v>39550</v>
      </c>
      <c r="E37" s="35" t="s">
        <v>809</v>
      </c>
      <c r="F37" s="35" t="s">
        <v>544</v>
      </c>
      <c r="G37" s="17" t="s">
        <v>810</v>
      </c>
      <c r="H37" s="13"/>
      <c r="I37" s="35" t="s">
        <v>2204</v>
      </c>
      <c r="J37" s="8" t="str">
        <f t="shared" si="1"/>
        <v xml:space="preserve">Trần Tấn </v>
      </c>
      <c r="K37" s="8" t="str">
        <f t="shared" si="2"/>
        <v>Phát</v>
      </c>
    </row>
    <row r="38" spans="1:11" s="8" customFormat="1" ht="19.5" customHeight="1">
      <c r="A38" s="9">
        <f t="shared" si="0"/>
        <v>32</v>
      </c>
      <c r="B38" s="21" t="s">
        <v>2087</v>
      </c>
      <c r="C38" s="22" t="s">
        <v>49</v>
      </c>
      <c r="D38" s="12" t="s">
        <v>2089</v>
      </c>
      <c r="E38" s="35" t="s">
        <v>579</v>
      </c>
      <c r="F38" s="35" t="s">
        <v>541</v>
      </c>
      <c r="G38" s="17" t="s">
        <v>2595</v>
      </c>
      <c r="H38" s="13" t="s">
        <v>2072</v>
      </c>
      <c r="I38" s="35" t="s">
        <v>2204</v>
      </c>
      <c r="J38" s="8" t="str">
        <f t="shared" si="1"/>
        <v>Tống Bùi Ngọc</v>
      </c>
      <c r="K38" s="8" t="str">
        <f t="shared" si="2"/>
        <v>Phong</v>
      </c>
    </row>
    <row r="39" spans="1:11" s="8" customFormat="1" ht="19.5" customHeight="1">
      <c r="A39" s="9">
        <f t="shared" si="0"/>
        <v>33</v>
      </c>
      <c r="B39" s="21" t="s">
        <v>237</v>
      </c>
      <c r="C39" s="22" t="s">
        <v>19</v>
      </c>
      <c r="D39" s="15">
        <v>39528</v>
      </c>
      <c r="E39" s="37" t="s">
        <v>540</v>
      </c>
      <c r="F39" s="37" t="s">
        <v>541</v>
      </c>
      <c r="G39" s="38" t="s">
        <v>808</v>
      </c>
      <c r="H39" s="16" t="s">
        <v>567</v>
      </c>
      <c r="I39" s="35" t="s">
        <v>2204</v>
      </c>
      <c r="J39" s="8" t="str">
        <f t="shared" si="1"/>
        <v xml:space="preserve">Nguyễn Văn Hoàng </v>
      </c>
      <c r="K39" s="8" t="str">
        <f t="shared" si="2"/>
        <v>Phúc</v>
      </c>
    </row>
    <row r="40" spans="1:11" s="8" customFormat="1" ht="19.5" customHeight="1">
      <c r="A40" s="9">
        <f t="shared" si="0"/>
        <v>34</v>
      </c>
      <c r="B40" s="21" t="s">
        <v>1454</v>
      </c>
      <c r="C40" s="22" t="s">
        <v>19</v>
      </c>
      <c r="D40" s="12">
        <v>39417</v>
      </c>
      <c r="E40" s="35" t="s">
        <v>1738</v>
      </c>
      <c r="F40" s="35" t="s">
        <v>573</v>
      </c>
      <c r="G40" s="17" t="s">
        <v>2573</v>
      </c>
      <c r="H40" s="13"/>
      <c r="I40" s="35" t="s">
        <v>2221</v>
      </c>
      <c r="J40" s="8" t="str">
        <f t="shared" si="1"/>
        <v>Nguyễn Đắc</v>
      </c>
      <c r="K40" s="8" t="str">
        <f t="shared" si="2"/>
        <v>Phúc</v>
      </c>
    </row>
    <row r="41" spans="1:11" s="8" customFormat="1" ht="19.5" customHeight="1">
      <c r="A41" s="9">
        <f t="shared" si="0"/>
        <v>35</v>
      </c>
      <c r="B41" s="21" t="s">
        <v>230</v>
      </c>
      <c r="C41" s="22" t="s">
        <v>201</v>
      </c>
      <c r="D41" s="12">
        <v>39754</v>
      </c>
      <c r="E41" s="35" t="s">
        <v>917</v>
      </c>
      <c r="F41" s="35" t="s">
        <v>544</v>
      </c>
      <c r="G41" s="17" t="s">
        <v>1432</v>
      </c>
      <c r="H41" s="13"/>
      <c r="I41" s="35" t="s">
        <v>2204</v>
      </c>
      <c r="J41" s="8" t="str">
        <f t="shared" ref="J41:K43" si="3">PROPER(B41)</f>
        <v xml:space="preserve">Lê Đình Bảo </v>
      </c>
      <c r="K41" s="8" t="str">
        <f t="shared" si="3"/>
        <v>Quân</v>
      </c>
    </row>
    <row r="42" spans="1:11" s="8" customFormat="1" ht="19.5" customHeight="1">
      <c r="A42" s="9">
        <f t="shared" si="0"/>
        <v>36</v>
      </c>
      <c r="B42" s="21" t="s">
        <v>1917</v>
      </c>
      <c r="C42" s="22" t="s">
        <v>31</v>
      </c>
      <c r="D42" s="12" t="s">
        <v>1920</v>
      </c>
      <c r="E42" s="35" t="s">
        <v>886</v>
      </c>
      <c r="F42" s="35" t="s">
        <v>541</v>
      </c>
      <c r="G42" s="17" t="s">
        <v>2598</v>
      </c>
      <c r="H42" s="13" t="s">
        <v>1912</v>
      </c>
      <c r="I42" s="35" t="s">
        <v>2204</v>
      </c>
      <c r="J42" s="8" t="str">
        <f t="shared" si="3"/>
        <v>Phan Thành</v>
      </c>
      <c r="K42" s="8" t="str">
        <f t="shared" si="3"/>
        <v>Thanh</v>
      </c>
    </row>
    <row r="43" spans="1:11" s="8" customFormat="1" ht="19.5" customHeight="1">
      <c r="A43" s="9">
        <f t="shared" si="0"/>
        <v>37</v>
      </c>
      <c r="B43" s="21" t="s">
        <v>1150</v>
      </c>
      <c r="C43" s="22" t="s">
        <v>183</v>
      </c>
      <c r="D43" s="12" t="s">
        <v>1345</v>
      </c>
      <c r="E43" s="35" t="s">
        <v>579</v>
      </c>
      <c r="F43" s="35" t="s">
        <v>541</v>
      </c>
      <c r="G43" s="17" t="s">
        <v>2580</v>
      </c>
      <c r="H43" s="13"/>
      <c r="I43" s="35" t="s">
        <v>2207</v>
      </c>
      <c r="J43" s="8" t="str">
        <f t="shared" si="3"/>
        <v>Trần Văn</v>
      </c>
      <c r="K43" s="8" t="str">
        <f t="shared" si="3"/>
        <v>Thảo</v>
      </c>
    </row>
    <row r="44" spans="1:11" s="8" customFormat="1" ht="19.5" customHeight="1">
      <c r="A44" s="9">
        <f t="shared" si="0"/>
        <v>38</v>
      </c>
      <c r="B44" s="54" t="s">
        <v>1627</v>
      </c>
      <c r="C44" s="57" t="s">
        <v>312</v>
      </c>
      <c r="D44" s="12">
        <v>39801</v>
      </c>
      <c r="E44" s="35" t="s">
        <v>918</v>
      </c>
      <c r="F44" s="35" t="s">
        <v>541</v>
      </c>
      <c r="G44" s="17" t="s">
        <v>2574</v>
      </c>
      <c r="H44" s="13" t="s">
        <v>1620</v>
      </c>
      <c r="I44" s="35" t="s">
        <v>2204</v>
      </c>
      <c r="J44" s="8" t="str">
        <f t="shared" ref="J44" si="4">PROPER(B44)</f>
        <v>Hồ Nguyễn Anh</v>
      </c>
      <c r="K44" s="8" t="str">
        <f t="shared" ref="K44" si="5">PROPER(C44)</f>
        <v>Thi</v>
      </c>
    </row>
    <row r="45" spans="1:11" s="8" customFormat="1" ht="19.5" customHeight="1">
      <c r="A45" s="9">
        <f t="shared" si="0"/>
        <v>39</v>
      </c>
      <c r="B45" s="21" t="s">
        <v>248</v>
      </c>
      <c r="C45" s="22" t="s">
        <v>47</v>
      </c>
      <c r="D45" s="12">
        <v>39797</v>
      </c>
      <c r="E45" s="35" t="s">
        <v>1045</v>
      </c>
      <c r="F45" s="35" t="s">
        <v>553</v>
      </c>
      <c r="G45" s="17" t="s">
        <v>1061</v>
      </c>
      <c r="H45" s="13"/>
      <c r="I45" s="35" t="s">
        <v>3340</v>
      </c>
      <c r="J45" s="8" t="str">
        <f t="shared" ref="J45:J46" si="6">PROPER(B45)</f>
        <v xml:space="preserve">Mai Đức </v>
      </c>
      <c r="K45" s="8" t="str">
        <f t="shared" ref="K45:K46" si="7">PROPER(C45)</f>
        <v>Thịnh</v>
      </c>
    </row>
    <row r="46" spans="1:11" s="8" customFormat="1" ht="19.5" customHeight="1">
      <c r="A46" s="9">
        <f t="shared" si="0"/>
        <v>40</v>
      </c>
      <c r="B46" s="21" t="s">
        <v>1411</v>
      </c>
      <c r="C46" s="22" t="s">
        <v>47</v>
      </c>
      <c r="D46" s="12" t="s">
        <v>1241</v>
      </c>
      <c r="E46" s="35" t="s">
        <v>1433</v>
      </c>
      <c r="F46" s="35" t="s">
        <v>544</v>
      </c>
      <c r="G46" s="17" t="s">
        <v>1434</v>
      </c>
      <c r="H46" s="13"/>
      <c r="I46" s="35" t="s">
        <v>2204</v>
      </c>
      <c r="J46" s="8" t="str">
        <f t="shared" si="6"/>
        <v>Trương Quang</v>
      </c>
      <c r="K46" s="8" t="str">
        <f t="shared" si="7"/>
        <v>Thịnh</v>
      </c>
    </row>
    <row r="47" spans="1:11" s="8" customFormat="1" ht="19.5" customHeight="1">
      <c r="A47" s="9">
        <f t="shared" si="0"/>
        <v>41</v>
      </c>
      <c r="B47" s="21" t="s">
        <v>1114</v>
      </c>
      <c r="C47" s="22" t="s">
        <v>1115</v>
      </c>
      <c r="D47" s="12">
        <v>39810</v>
      </c>
      <c r="E47" s="35" t="s">
        <v>560</v>
      </c>
      <c r="F47" s="35" t="s">
        <v>541</v>
      </c>
      <c r="G47" s="17" t="s">
        <v>561</v>
      </c>
      <c r="H47" s="13"/>
      <c r="I47" s="35" t="s">
        <v>2204</v>
      </c>
      <c r="J47" s="8" t="str">
        <f t="shared" ref="J47:J49" si="8">PROPER(B47)</f>
        <v>Đỗ Đắc</v>
      </c>
      <c r="K47" s="8" t="str">
        <f t="shared" ref="K47:K49" si="9">PROPER(C47)</f>
        <v>Thời</v>
      </c>
    </row>
    <row r="48" spans="1:11" s="8" customFormat="1" ht="19.5" customHeight="1">
      <c r="A48" s="9">
        <f t="shared" si="0"/>
        <v>42</v>
      </c>
      <c r="B48" s="54" t="s">
        <v>531</v>
      </c>
      <c r="C48" s="57" t="s">
        <v>130</v>
      </c>
      <c r="D48" s="12">
        <v>39746</v>
      </c>
      <c r="E48" s="35" t="s">
        <v>560</v>
      </c>
      <c r="F48" s="35" t="s">
        <v>541</v>
      </c>
      <c r="G48" s="17" t="s">
        <v>1650</v>
      </c>
      <c r="H48" s="13" t="s">
        <v>1602</v>
      </c>
      <c r="I48" s="35" t="s">
        <v>2204</v>
      </c>
      <c r="J48" s="8" t="str">
        <f t="shared" si="8"/>
        <v>Phan Minh</v>
      </c>
      <c r="K48" s="8" t="str">
        <f t="shared" si="9"/>
        <v>Toàn</v>
      </c>
    </row>
    <row r="49" spans="1:12" s="8" customFormat="1" ht="19.5" customHeight="1">
      <c r="A49" s="9">
        <f t="shared" si="0"/>
        <v>43</v>
      </c>
      <c r="B49" s="21" t="s">
        <v>1151</v>
      </c>
      <c r="C49" s="22" t="s">
        <v>195</v>
      </c>
      <c r="D49" s="12">
        <v>39595</v>
      </c>
      <c r="E49" s="35" t="s">
        <v>2585</v>
      </c>
      <c r="F49" s="35" t="s">
        <v>553</v>
      </c>
      <c r="G49" s="17" t="s">
        <v>2586</v>
      </c>
      <c r="H49" s="13"/>
      <c r="I49" s="35" t="s">
        <v>2204</v>
      </c>
      <c r="J49" s="8" t="str">
        <f t="shared" si="8"/>
        <v>Phan Xuân</v>
      </c>
      <c r="K49" s="8" t="str">
        <f t="shared" si="9"/>
        <v>Trung</v>
      </c>
    </row>
    <row r="50" spans="1:12" s="8" customFormat="1" ht="19.5" customHeight="1">
      <c r="A50" s="9">
        <f t="shared" si="0"/>
        <v>44</v>
      </c>
      <c r="B50" s="21" t="s">
        <v>522</v>
      </c>
      <c r="C50" s="22" t="s">
        <v>68</v>
      </c>
      <c r="D50" s="12">
        <v>39788</v>
      </c>
      <c r="E50" s="35" t="s">
        <v>748</v>
      </c>
      <c r="F50" s="35" t="s">
        <v>541</v>
      </c>
      <c r="G50" s="17" t="s">
        <v>1651</v>
      </c>
      <c r="H50" s="13"/>
      <c r="I50" s="35" t="s">
        <v>2204</v>
      </c>
      <c r="J50" s="8" t="str">
        <f t="shared" ref="J50" si="10">PROPER(B50)</f>
        <v>Nguyễn Thanh</v>
      </c>
      <c r="K50" s="8" t="str">
        <f t="shared" ref="K50" si="11">PROPER(C50)</f>
        <v>Trường</v>
      </c>
    </row>
    <row r="51" spans="1:12" s="8" customFormat="1" ht="19.5" customHeight="1">
      <c r="A51" s="9">
        <f t="shared" si="0"/>
        <v>45</v>
      </c>
      <c r="B51" s="21" t="s">
        <v>1916</v>
      </c>
      <c r="C51" s="22" t="s">
        <v>252</v>
      </c>
      <c r="D51" s="12" t="s">
        <v>1919</v>
      </c>
      <c r="E51" s="35" t="s">
        <v>2593</v>
      </c>
      <c r="F51" s="35" t="s">
        <v>553</v>
      </c>
      <c r="G51" s="17" t="s">
        <v>2594</v>
      </c>
      <c r="H51" s="13" t="s">
        <v>1912</v>
      </c>
      <c r="I51" s="35" t="s">
        <v>2208</v>
      </c>
      <c r="J51" s="8" t="str">
        <f t="shared" ref="J51:J54" si="12">PROPER(B51)</f>
        <v>Nguyễn Tuấn</v>
      </c>
      <c r="K51" s="8" t="str">
        <f t="shared" ref="K51:K54" si="13">PROPER(C51)</f>
        <v>Tú</v>
      </c>
    </row>
    <row r="52" spans="1:12" s="8" customFormat="1" ht="19.5" customHeight="1">
      <c r="A52" s="9">
        <f t="shared" si="0"/>
        <v>46</v>
      </c>
      <c r="B52" s="21" t="s">
        <v>1277</v>
      </c>
      <c r="C52" s="22" t="s">
        <v>1278</v>
      </c>
      <c r="D52" s="12">
        <v>39464</v>
      </c>
      <c r="E52" s="35" t="s">
        <v>579</v>
      </c>
      <c r="F52" s="35" t="s">
        <v>541</v>
      </c>
      <c r="G52" s="17" t="s">
        <v>2577</v>
      </c>
      <c r="H52" s="13"/>
      <c r="I52" s="35" t="s">
        <v>2204</v>
      </c>
      <c r="J52" s="8" t="str">
        <f t="shared" si="12"/>
        <v>Nguyễn Đức Anh</v>
      </c>
      <c r="K52" s="8" t="str">
        <f t="shared" si="13"/>
        <v>Tuấn</v>
      </c>
    </row>
    <row r="53" spans="1:12" s="8" customFormat="1" ht="19.5" customHeight="1">
      <c r="A53" s="9">
        <f t="shared" si="0"/>
        <v>47</v>
      </c>
      <c r="B53" s="21" t="s">
        <v>2098</v>
      </c>
      <c r="C53" s="22" t="s">
        <v>29</v>
      </c>
      <c r="D53" s="12">
        <v>39304</v>
      </c>
      <c r="E53" s="35" t="s">
        <v>1060</v>
      </c>
      <c r="F53" s="35" t="s">
        <v>553</v>
      </c>
      <c r="G53" s="17" t="s">
        <v>1647</v>
      </c>
      <c r="H53" s="13"/>
      <c r="I53" s="35" t="s">
        <v>2204</v>
      </c>
      <c r="J53" s="8" t="str">
        <f t="shared" si="12"/>
        <v>Phạm Văn Đức</v>
      </c>
      <c r="K53" s="8" t="str">
        <f t="shared" si="13"/>
        <v>Việt</v>
      </c>
    </row>
    <row r="54" spans="1:12" s="8" customFormat="1" ht="19.5" customHeight="1">
      <c r="A54" s="9">
        <f t="shared" si="0"/>
        <v>48</v>
      </c>
      <c r="B54" s="21" t="s">
        <v>249</v>
      </c>
      <c r="C54" s="22" t="s">
        <v>111</v>
      </c>
      <c r="D54" s="12">
        <v>39754</v>
      </c>
      <c r="E54" s="35" t="s">
        <v>806</v>
      </c>
      <c r="F54" s="35" t="s">
        <v>573</v>
      </c>
      <c r="G54" s="17" t="s">
        <v>807</v>
      </c>
      <c r="H54" s="13"/>
      <c r="I54" s="35" t="s">
        <v>2204</v>
      </c>
      <c r="J54" s="8" t="str">
        <f t="shared" si="12"/>
        <v xml:space="preserve">Võ Phan Trường </v>
      </c>
      <c r="K54" s="8" t="str">
        <f t="shared" si="13"/>
        <v>Vũ</v>
      </c>
    </row>
    <row r="55" spans="1:12" s="8" customFormat="1" ht="19.5" customHeight="1">
      <c r="A55" s="9">
        <f t="shared" si="0"/>
        <v>49</v>
      </c>
      <c r="B55" s="21" t="s">
        <v>1423</v>
      </c>
      <c r="C55" s="22" t="s">
        <v>21</v>
      </c>
      <c r="D55" s="12">
        <v>39454</v>
      </c>
      <c r="E55" s="35" t="s">
        <v>885</v>
      </c>
      <c r="F55" s="35" t="s">
        <v>541</v>
      </c>
      <c r="G55" s="17" t="s">
        <v>2581</v>
      </c>
      <c r="H55" s="33" t="s">
        <v>2582</v>
      </c>
      <c r="I55" s="35" t="s">
        <v>2341</v>
      </c>
      <c r="J55" s="8" t="str">
        <f t="shared" ref="J55:J56" si="14">PROPER(B55)</f>
        <v>Lê Văn</v>
      </c>
      <c r="K55" s="8" t="str">
        <f t="shared" ref="K55:K56" si="15">PROPER(C55)</f>
        <v>Vỹ</v>
      </c>
    </row>
    <row r="56" spans="1:12" s="8" customFormat="1" ht="19.5" customHeight="1">
      <c r="A56" s="9">
        <f t="shared" si="0"/>
        <v>50</v>
      </c>
      <c r="B56" s="21" t="s">
        <v>2664</v>
      </c>
      <c r="C56" s="22" t="s">
        <v>2665</v>
      </c>
      <c r="D56" s="12" t="s">
        <v>2666</v>
      </c>
      <c r="E56" s="35" t="s">
        <v>2992</v>
      </c>
      <c r="F56" s="35" t="s">
        <v>631</v>
      </c>
      <c r="G56" s="17" t="s">
        <v>2993</v>
      </c>
      <c r="H56" s="13" t="s">
        <v>2640</v>
      </c>
      <c r="I56" s="35" t="s">
        <v>2204</v>
      </c>
      <c r="J56" s="8" t="str">
        <f t="shared" si="14"/>
        <v>Phạm Phước Quang</v>
      </c>
      <c r="K56" s="8" t="str">
        <f t="shared" si="15"/>
        <v>Ry</v>
      </c>
    </row>
    <row r="57" spans="1:12" s="8" customFormat="1" ht="19.5" customHeight="1">
      <c r="A57" s="9">
        <f t="shared" si="0"/>
        <v>51</v>
      </c>
      <c r="B57" s="21" t="s">
        <v>2761</v>
      </c>
      <c r="C57" s="22" t="s">
        <v>55</v>
      </c>
      <c r="D57" s="12">
        <v>39721</v>
      </c>
      <c r="E57" s="35" t="s">
        <v>584</v>
      </c>
      <c r="F57" s="35" t="s">
        <v>544</v>
      </c>
      <c r="G57" s="17" t="s">
        <v>2825</v>
      </c>
      <c r="H57" s="13" t="s">
        <v>2759</v>
      </c>
      <c r="I57" s="35" t="s">
        <v>2204</v>
      </c>
      <c r="J57" s="8" t="str">
        <f t="shared" ref="J57" si="16">PROPER(B57)</f>
        <v>Vương Trí</v>
      </c>
      <c r="K57" s="8" t="str">
        <f t="shared" ref="K57" si="17">PROPER(C57)</f>
        <v>Bảo</v>
      </c>
    </row>
    <row r="58" spans="1:12" s="8" customFormat="1" ht="19.5" customHeight="1">
      <c r="A58" s="9">
        <f t="shared" si="0"/>
        <v>52</v>
      </c>
      <c r="B58" s="21" t="s">
        <v>95</v>
      </c>
      <c r="C58" s="22" t="s">
        <v>98</v>
      </c>
      <c r="D58" s="12" t="s">
        <v>2248</v>
      </c>
      <c r="E58" s="35" t="s">
        <v>661</v>
      </c>
      <c r="F58" s="35" t="s">
        <v>541</v>
      </c>
      <c r="G58" s="17" t="s">
        <v>3166</v>
      </c>
      <c r="H58" s="13" t="s">
        <v>3048</v>
      </c>
      <c r="I58" s="35" t="s">
        <v>3164</v>
      </c>
      <c r="J58" s="8" t="str">
        <f t="shared" ref="J58" si="18">PROPER(B58)</f>
        <v xml:space="preserve">Nguyễn Văn </v>
      </c>
      <c r="K58" s="8" t="str">
        <f t="shared" ref="K58" si="19">PROPER(C58)</f>
        <v>Tài</v>
      </c>
    </row>
    <row r="59" spans="1:12" s="207" customFormat="1" ht="20.25" customHeight="1">
      <c r="A59" s="203">
        <f t="shared" ref="A59:A64" si="20">ROW()-6</f>
        <v>53</v>
      </c>
      <c r="B59" s="59" t="s">
        <v>2245</v>
      </c>
      <c r="C59" s="204" t="s">
        <v>25</v>
      </c>
      <c r="D59" s="61" t="s">
        <v>2247</v>
      </c>
      <c r="E59" s="62" t="s">
        <v>875</v>
      </c>
      <c r="F59" s="62" t="s">
        <v>573</v>
      </c>
      <c r="G59" s="205" t="s">
        <v>2603</v>
      </c>
      <c r="H59" s="62" t="s">
        <v>2604</v>
      </c>
      <c r="I59" s="208" t="s">
        <v>3063</v>
      </c>
      <c r="J59" s="117" t="s">
        <v>3332</v>
      </c>
      <c r="K59" s="206" t="str">
        <f>PROPER(B59)</f>
        <v>Hồ Văn</v>
      </c>
      <c r="L59" s="206" t="str">
        <f>PROPER(C59)</f>
        <v>Đạt</v>
      </c>
    </row>
    <row r="60" spans="1:12" s="207" customFormat="1" ht="20.25" customHeight="1">
      <c r="A60" s="203">
        <f t="shared" si="20"/>
        <v>54</v>
      </c>
      <c r="B60" s="59" t="s">
        <v>1126</v>
      </c>
      <c r="C60" s="204" t="s">
        <v>128</v>
      </c>
      <c r="D60" s="61" t="s">
        <v>3181</v>
      </c>
      <c r="E60" s="62" t="s">
        <v>3189</v>
      </c>
      <c r="F60" s="62" t="s">
        <v>573</v>
      </c>
      <c r="G60" s="205" t="s">
        <v>3188</v>
      </c>
      <c r="H60" s="241" t="s">
        <v>3225</v>
      </c>
      <c r="I60" s="208" t="s">
        <v>2204</v>
      </c>
      <c r="J60" s="112"/>
      <c r="K60" s="206" t="str">
        <f t="shared" ref="K60:K61" si="21">PROPER(B60)</f>
        <v>Nguyễn Duy</v>
      </c>
      <c r="L60" s="206" t="str">
        <f t="shared" ref="L60:L61" si="22">PROPER(C60)</f>
        <v>Huy</v>
      </c>
    </row>
    <row r="61" spans="1:12" s="207" customFormat="1" ht="20.25" customHeight="1">
      <c r="A61" s="203">
        <f t="shared" si="20"/>
        <v>55</v>
      </c>
      <c r="B61" s="59" t="s">
        <v>243</v>
      </c>
      <c r="C61" s="204" t="s">
        <v>478</v>
      </c>
      <c r="D61" s="61">
        <v>39450</v>
      </c>
      <c r="E61" s="62" t="s">
        <v>1648</v>
      </c>
      <c r="F61" s="62" t="s">
        <v>541</v>
      </c>
      <c r="G61" s="205" t="s">
        <v>3337</v>
      </c>
      <c r="H61" s="62" t="s">
        <v>3331</v>
      </c>
      <c r="I61" s="208" t="s">
        <v>2204</v>
      </c>
      <c r="J61" s="214"/>
      <c r="K61" s="206" t="str">
        <f t="shared" si="21"/>
        <v xml:space="preserve">Đỗ Ngọc </v>
      </c>
      <c r="L61" s="206" t="str">
        <f t="shared" si="22"/>
        <v>Kỳ</v>
      </c>
    </row>
    <row r="62" spans="1:12" s="207" customFormat="1" ht="20.25" customHeight="1">
      <c r="A62" s="203">
        <f t="shared" si="20"/>
        <v>56</v>
      </c>
      <c r="B62" s="59" t="s">
        <v>3381</v>
      </c>
      <c r="C62" s="204" t="s">
        <v>70</v>
      </c>
      <c r="D62" s="61" t="s">
        <v>3382</v>
      </c>
      <c r="E62" s="62" t="s">
        <v>3398</v>
      </c>
      <c r="F62" s="62" t="s">
        <v>565</v>
      </c>
      <c r="G62" s="205" t="s">
        <v>3399</v>
      </c>
      <c r="H62" s="62" t="s">
        <v>3383</v>
      </c>
      <c r="I62" s="208" t="s">
        <v>2204</v>
      </c>
      <c r="J62" s="214"/>
      <c r="K62" s="206" t="str">
        <f t="shared" ref="K62:K64" si="23">PROPER(B62)</f>
        <v>Lê Tuấn</v>
      </c>
      <c r="L62" s="206" t="str">
        <f t="shared" ref="L62:L64" si="24">PROPER(C62)</f>
        <v>Anh</v>
      </c>
    </row>
    <row r="63" spans="1:12" s="207" customFormat="1" ht="20.25" customHeight="1">
      <c r="A63" s="203">
        <f t="shared" si="20"/>
        <v>57</v>
      </c>
      <c r="B63" s="59" t="s">
        <v>3417</v>
      </c>
      <c r="C63" s="204" t="s">
        <v>68</v>
      </c>
      <c r="D63" s="61">
        <v>39051</v>
      </c>
      <c r="E63" s="62" t="s">
        <v>874</v>
      </c>
      <c r="F63" s="62" t="s">
        <v>541</v>
      </c>
      <c r="G63" s="205" t="s">
        <v>3419</v>
      </c>
      <c r="H63" s="62" t="s">
        <v>3418</v>
      </c>
      <c r="I63" s="208" t="s">
        <v>2204</v>
      </c>
      <c r="J63" s="214"/>
      <c r="K63" s="206" t="str">
        <f t="shared" si="23"/>
        <v>Phạm Quang</v>
      </c>
      <c r="L63" s="206" t="str">
        <f t="shared" si="24"/>
        <v>Trường</v>
      </c>
    </row>
    <row r="64" spans="1:12" s="207" customFormat="1" ht="20.25" customHeight="1">
      <c r="A64" s="203">
        <f t="shared" si="20"/>
        <v>58</v>
      </c>
      <c r="B64" s="59" t="s">
        <v>3431</v>
      </c>
      <c r="C64" s="204" t="s">
        <v>201</v>
      </c>
      <c r="D64" s="61">
        <v>39710</v>
      </c>
      <c r="E64" s="62" t="s">
        <v>3461</v>
      </c>
      <c r="F64" s="62" t="s">
        <v>731</v>
      </c>
      <c r="G64" s="205" t="s">
        <v>3462</v>
      </c>
      <c r="H64" s="62" t="s">
        <v>3432</v>
      </c>
      <c r="I64" s="208" t="s">
        <v>2204</v>
      </c>
      <c r="J64" s="214"/>
      <c r="K64" s="206" t="str">
        <f t="shared" si="23"/>
        <v xml:space="preserve">Ngô Công </v>
      </c>
      <c r="L64" s="206" t="str">
        <f t="shared" si="24"/>
        <v>Quân</v>
      </c>
    </row>
  </sheetData>
  <sortState ref="B7:I55">
    <sortCondition ref="C7:C55"/>
  </sortState>
  <mergeCells count="8">
    <mergeCell ref="B6:C6"/>
    <mergeCell ref="A1:D1"/>
    <mergeCell ref="E1:H1"/>
    <mergeCell ref="A2:D2"/>
    <mergeCell ref="E2:H2"/>
    <mergeCell ref="A4:H4"/>
    <mergeCell ref="A5:H5"/>
    <mergeCell ref="E6:F6"/>
  </mergeCells>
  <pageMargins left="0.24" right="0.2" top="0.38" bottom="0.36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opLeftCell="A22" workbookViewId="0">
      <selection activeCell="I30" sqref="I30"/>
    </sheetView>
  </sheetViews>
  <sheetFormatPr defaultRowHeight="15"/>
  <cols>
    <col min="1" max="1" width="5.28515625" style="1" customWidth="1"/>
    <col min="2" max="2" width="18.140625" style="1" customWidth="1"/>
    <col min="3" max="3" width="8.28515625" style="1" customWidth="1"/>
    <col min="4" max="4" width="9.85546875" style="1" customWidth="1"/>
    <col min="5" max="5" width="17.5703125" style="1" customWidth="1"/>
    <col min="6" max="6" width="14" style="1" customWidth="1"/>
    <col min="7" max="7" width="13.5703125" style="1" customWidth="1"/>
    <col min="8" max="8" width="21.42578125" style="1" customWidth="1"/>
    <col min="9" max="9" width="20.7109375" style="1" customWidth="1"/>
    <col min="10" max="10" width="15" style="1" customWidth="1"/>
    <col min="11" max="16384" width="9.140625" style="1"/>
  </cols>
  <sheetData>
    <row r="1" spans="1:11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  <c r="I1" s="275"/>
    </row>
    <row r="2" spans="1:11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  <c r="I2" s="275"/>
    </row>
    <row r="3" spans="1:11" ht="15.75" customHeight="1">
      <c r="A3" s="2"/>
      <c r="B3" s="3"/>
      <c r="C3" s="3"/>
      <c r="D3" s="3"/>
    </row>
    <row r="4" spans="1:11" ht="15.75" customHeight="1">
      <c r="A4" s="308" t="s">
        <v>10</v>
      </c>
      <c r="B4" s="308"/>
      <c r="C4" s="308"/>
      <c r="D4" s="308"/>
      <c r="E4" s="308"/>
      <c r="F4" s="308"/>
      <c r="G4" s="308"/>
      <c r="H4" s="308"/>
      <c r="I4" s="276"/>
    </row>
    <row r="5" spans="1:11" s="4" customFormat="1" ht="23.25" customHeight="1">
      <c r="A5" s="309" t="s">
        <v>3379</v>
      </c>
      <c r="B5" s="309"/>
      <c r="C5" s="309"/>
      <c r="D5" s="309"/>
      <c r="E5" s="309"/>
      <c r="F5" s="309"/>
      <c r="G5" s="309"/>
      <c r="H5" s="309"/>
      <c r="I5" s="277"/>
    </row>
    <row r="6" spans="1:11" s="8" customFormat="1" ht="45.75" customHeight="1">
      <c r="A6" s="5" t="s">
        <v>4</v>
      </c>
      <c r="B6" s="302" t="s">
        <v>5</v>
      </c>
      <c r="C6" s="303"/>
      <c r="D6" s="6" t="s">
        <v>6</v>
      </c>
      <c r="E6" s="304" t="s">
        <v>11</v>
      </c>
      <c r="F6" s="305"/>
      <c r="G6" s="20" t="s">
        <v>226</v>
      </c>
      <c r="H6" s="7" t="s">
        <v>7</v>
      </c>
      <c r="I6" s="6" t="s">
        <v>2611</v>
      </c>
    </row>
    <row r="7" spans="1:11" s="8" customFormat="1" ht="22.5" customHeight="1">
      <c r="A7" s="9">
        <f t="shared" ref="A7:A33" si="0">ROW()-6</f>
        <v>1</v>
      </c>
      <c r="B7" s="21" t="s">
        <v>522</v>
      </c>
      <c r="C7" s="22" t="s">
        <v>361</v>
      </c>
      <c r="D7" s="12" t="s">
        <v>1406</v>
      </c>
      <c r="E7" s="35" t="s">
        <v>1158</v>
      </c>
      <c r="F7" s="35" t="s">
        <v>541</v>
      </c>
      <c r="G7" s="17" t="s">
        <v>2616</v>
      </c>
      <c r="H7" s="13" t="s">
        <v>2243</v>
      </c>
      <c r="I7" s="35" t="s">
        <v>2206</v>
      </c>
      <c r="J7" s="8" t="str">
        <f t="shared" ref="J7:J22" si="1">PROPER(B7)</f>
        <v>Nguyễn Thanh</v>
      </c>
      <c r="K7" s="8" t="str">
        <f t="shared" ref="K7:K22" si="2">PROPER(C7)</f>
        <v>Danh</v>
      </c>
    </row>
    <row r="8" spans="1:11" s="8" customFormat="1" ht="22.5" customHeight="1">
      <c r="A8" s="9">
        <f t="shared" si="0"/>
        <v>2</v>
      </c>
      <c r="B8" s="21" t="s">
        <v>1333</v>
      </c>
      <c r="C8" s="22" t="s">
        <v>25</v>
      </c>
      <c r="D8" s="12" t="s">
        <v>1335</v>
      </c>
      <c r="E8" s="35" t="s">
        <v>995</v>
      </c>
      <c r="F8" s="35" t="s">
        <v>544</v>
      </c>
      <c r="G8" s="17" t="s">
        <v>2629</v>
      </c>
      <c r="H8" s="13"/>
      <c r="I8" s="35" t="s">
        <v>2204</v>
      </c>
      <c r="J8" s="8" t="str">
        <f t="shared" si="1"/>
        <v>Lê Hữu</v>
      </c>
      <c r="K8" s="8" t="str">
        <f t="shared" si="2"/>
        <v>Đạt</v>
      </c>
    </row>
    <row r="9" spans="1:11" s="8" customFormat="1" ht="22.5" customHeight="1">
      <c r="A9" s="9">
        <f t="shared" si="0"/>
        <v>3</v>
      </c>
      <c r="B9" s="21" t="s">
        <v>483</v>
      </c>
      <c r="C9" s="22" t="s">
        <v>484</v>
      </c>
      <c r="D9" s="12">
        <v>39766</v>
      </c>
      <c r="E9" s="35" t="s">
        <v>1027</v>
      </c>
      <c r="F9" s="35" t="s">
        <v>556</v>
      </c>
      <c r="G9" s="17" t="s">
        <v>1028</v>
      </c>
      <c r="H9" s="13"/>
      <c r="I9" s="35" t="s">
        <v>2204</v>
      </c>
      <c r="J9" s="8" t="str">
        <f t="shared" si="1"/>
        <v xml:space="preserve">Nguyễn Quang </v>
      </c>
      <c r="K9" s="8" t="str">
        <f t="shared" si="2"/>
        <v>Đông</v>
      </c>
    </row>
    <row r="10" spans="1:11" s="8" customFormat="1" ht="22.5" customHeight="1">
      <c r="A10" s="9">
        <f t="shared" si="0"/>
        <v>4</v>
      </c>
      <c r="B10" s="21" t="s">
        <v>1334</v>
      </c>
      <c r="C10" s="22" t="s">
        <v>66</v>
      </c>
      <c r="D10" s="12">
        <v>36669</v>
      </c>
      <c r="E10" s="35" t="s">
        <v>812</v>
      </c>
      <c r="F10" s="35" t="s">
        <v>541</v>
      </c>
      <c r="G10" s="17" t="s">
        <v>2630</v>
      </c>
      <c r="H10" s="13"/>
      <c r="I10" s="35" t="s">
        <v>2204</v>
      </c>
      <c r="J10" s="8" t="str">
        <f t="shared" si="1"/>
        <v>Phan Công</v>
      </c>
      <c r="K10" s="8" t="str">
        <f t="shared" si="2"/>
        <v>Đức</v>
      </c>
    </row>
    <row r="11" spans="1:11" s="8" customFormat="1" ht="22.5" customHeight="1">
      <c r="A11" s="9">
        <f t="shared" si="0"/>
        <v>5</v>
      </c>
      <c r="B11" s="21" t="s">
        <v>1474</v>
      </c>
      <c r="C11" s="22" t="s">
        <v>1112</v>
      </c>
      <c r="D11" s="12">
        <v>39768</v>
      </c>
      <c r="E11" s="35" t="s">
        <v>621</v>
      </c>
      <c r="F11" s="35" t="s">
        <v>544</v>
      </c>
      <c r="G11" s="17" t="s">
        <v>2633</v>
      </c>
      <c r="H11" s="13"/>
      <c r="I11" s="35" t="s">
        <v>2632</v>
      </c>
      <c r="J11" s="8" t="str">
        <f t="shared" si="1"/>
        <v>Lê Hải</v>
      </c>
      <c r="K11" s="8" t="str">
        <f t="shared" si="2"/>
        <v>Dương</v>
      </c>
    </row>
    <row r="12" spans="1:11" s="8" customFormat="1" ht="22.5" customHeight="1">
      <c r="A12" s="9">
        <f t="shared" si="0"/>
        <v>6</v>
      </c>
      <c r="B12" s="21" t="s">
        <v>1976</v>
      </c>
      <c r="C12" s="281" t="s">
        <v>17</v>
      </c>
      <c r="D12" s="12" t="s">
        <v>1978</v>
      </c>
      <c r="E12" s="35" t="s">
        <v>2232</v>
      </c>
      <c r="F12" s="35" t="s">
        <v>544</v>
      </c>
      <c r="G12" s="17" t="s">
        <v>2627</v>
      </c>
      <c r="H12" s="13" t="s">
        <v>1955</v>
      </c>
      <c r="I12" s="35" t="s">
        <v>2204</v>
      </c>
      <c r="J12" s="8" t="str">
        <f t="shared" si="1"/>
        <v>Phạm Nguyễn Vũ</v>
      </c>
      <c r="K12" s="8" t="str">
        <f t="shared" si="2"/>
        <v>Hoàng</v>
      </c>
    </row>
    <row r="13" spans="1:11" s="8" customFormat="1" ht="22.5" customHeight="1">
      <c r="A13" s="9">
        <f t="shared" si="0"/>
        <v>7</v>
      </c>
      <c r="B13" s="21" t="s">
        <v>3034</v>
      </c>
      <c r="C13" s="22" t="s">
        <v>17</v>
      </c>
      <c r="D13" s="12" t="s">
        <v>3035</v>
      </c>
      <c r="E13" s="35"/>
      <c r="F13" s="35"/>
      <c r="G13" s="17" t="s">
        <v>3105</v>
      </c>
      <c r="H13" s="13" t="s">
        <v>3029</v>
      </c>
      <c r="I13" s="35" t="s">
        <v>3068</v>
      </c>
      <c r="J13" s="8" t="str">
        <f t="shared" si="1"/>
        <v xml:space="preserve">Chu Huy </v>
      </c>
      <c r="K13" s="8" t="str">
        <f t="shared" si="2"/>
        <v>Hoàng</v>
      </c>
    </row>
    <row r="14" spans="1:11" s="8" customFormat="1" ht="22.5" customHeight="1">
      <c r="A14" s="9">
        <f t="shared" si="0"/>
        <v>8</v>
      </c>
      <c r="B14" s="21" t="s">
        <v>515</v>
      </c>
      <c r="C14" s="22" t="s">
        <v>2766</v>
      </c>
      <c r="D14" s="12">
        <v>39783</v>
      </c>
      <c r="E14" s="35" t="s">
        <v>629</v>
      </c>
      <c r="F14" s="35" t="s">
        <v>541</v>
      </c>
      <c r="G14" s="17" t="s">
        <v>2984</v>
      </c>
      <c r="H14" s="13" t="s">
        <v>2759</v>
      </c>
      <c r="I14" s="35" t="s">
        <v>2204</v>
      </c>
      <c r="J14" s="8" t="str">
        <f t="shared" si="1"/>
        <v>Lê Minh</v>
      </c>
      <c r="K14" s="8" t="str">
        <f t="shared" si="2"/>
        <v>Huân</v>
      </c>
    </row>
    <row r="15" spans="1:11" s="8" customFormat="1" ht="22.5" customHeight="1">
      <c r="A15" s="9">
        <f t="shared" si="0"/>
        <v>9</v>
      </c>
      <c r="B15" s="21" t="s">
        <v>1541</v>
      </c>
      <c r="C15" s="22" t="s">
        <v>128</v>
      </c>
      <c r="D15" s="12" t="s">
        <v>2939</v>
      </c>
      <c r="E15" s="35" t="s">
        <v>3106</v>
      </c>
      <c r="F15" s="35" t="s">
        <v>731</v>
      </c>
      <c r="G15" s="17" t="s">
        <v>3107</v>
      </c>
      <c r="H15" s="13" t="s">
        <v>2841</v>
      </c>
      <c r="I15" s="35" t="s">
        <v>2220</v>
      </c>
      <c r="J15" s="8" t="str">
        <f t="shared" si="1"/>
        <v>Nguyễn Quang</v>
      </c>
      <c r="K15" s="8" t="str">
        <f t="shared" si="2"/>
        <v>Huy</v>
      </c>
    </row>
    <row r="16" spans="1:11" s="8" customFormat="1" ht="22.5" customHeight="1">
      <c r="A16" s="9">
        <f t="shared" si="0"/>
        <v>10</v>
      </c>
      <c r="B16" s="21" t="s">
        <v>3217</v>
      </c>
      <c r="C16" s="281" t="s">
        <v>3218</v>
      </c>
      <c r="D16" s="12" t="s">
        <v>1349</v>
      </c>
      <c r="E16" s="35"/>
      <c r="F16" s="35"/>
      <c r="G16" s="17" t="s">
        <v>3281</v>
      </c>
      <c r="H16" s="13" t="s">
        <v>3219</v>
      </c>
      <c r="I16" s="35" t="s">
        <v>2204</v>
      </c>
      <c r="J16" s="8" t="str">
        <f t="shared" si="1"/>
        <v>Đinh</v>
      </c>
      <c r="K16" s="8" t="str">
        <f t="shared" si="2"/>
        <v xml:space="preserve">Huy </v>
      </c>
    </row>
    <row r="17" spans="1:11" s="8" customFormat="1" ht="22.5" customHeight="1">
      <c r="A17" s="9">
        <f t="shared" si="0"/>
        <v>11</v>
      </c>
      <c r="B17" s="21" t="s">
        <v>479</v>
      </c>
      <c r="C17" s="22" t="s">
        <v>108</v>
      </c>
      <c r="D17" s="12">
        <v>39739</v>
      </c>
      <c r="E17" s="35" t="s">
        <v>848</v>
      </c>
      <c r="F17" s="35" t="s">
        <v>544</v>
      </c>
      <c r="G17" s="17" t="s">
        <v>1435</v>
      </c>
      <c r="H17" s="13"/>
      <c r="I17" s="35" t="s">
        <v>2204</v>
      </c>
      <c r="J17" s="8" t="str">
        <f t="shared" si="1"/>
        <v xml:space="preserve">Trần Hải </v>
      </c>
      <c r="K17" s="8" t="str">
        <f t="shared" si="2"/>
        <v>Kiên</v>
      </c>
    </row>
    <row r="18" spans="1:11" s="8" customFormat="1" ht="22.5" customHeight="1">
      <c r="A18" s="9">
        <f t="shared" si="0"/>
        <v>12</v>
      </c>
      <c r="B18" s="21" t="s">
        <v>3274</v>
      </c>
      <c r="C18" s="22" t="s">
        <v>294</v>
      </c>
      <c r="D18" s="279" t="s">
        <v>3275</v>
      </c>
      <c r="E18" s="35"/>
      <c r="F18" s="35"/>
      <c r="G18" s="17"/>
      <c r="H18" s="13" t="s">
        <v>3272</v>
      </c>
      <c r="I18" s="199" t="s">
        <v>2847</v>
      </c>
      <c r="J18" s="8" t="str">
        <f t="shared" si="1"/>
        <v>Lê Hoàng Việt</v>
      </c>
      <c r="K18" s="8" t="str">
        <f t="shared" si="2"/>
        <v>Linh</v>
      </c>
    </row>
    <row r="19" spans="1:11" s="8" customFormat="1" ht="22.5" customHeight="1">
      <c r="A19" s="9">
        <f t="shared" si="0"/>
        <v>13</v>
      </c>
      <c r="B19" s="21" t="s">
        <v>480</v>
      </c>
      <c r="C19" s="22" t="s">
        <v>92</v>
      </c>
      <c r="D19" s="12">
        <v>39524</v>
      </c>
      <c r="E19" s="35" t="s">
        <v>592</v>
      </c>
      <c r="F19" s="35" t="s">
        <v>541</v>
      </c>
      <c r="G19" s="17" t="s">
        <v>802</v>
      </c>
      <c r="H19" s="13"/>
      <c r="I19" s="35" t="s">
        <v>2207</v>
      </c>
      <c r="J19" s="8" t="str">
        <f t="shared" si="1"/>
        <v xml:space="preserve">Lê Ngọc </v>
      </c>
      <c r="K19" s="8" t="str">
        <f t="shared" si="2"/>
        <v>Nhân</v>
      </c>
    </row>
    <row r="20" spans="1:11" s="8" customFormat="1" ht="22.5" customHeight="1">
      <c r="A20" s="9">
        <f t="shared" si="0"/>
        <v>14</v>
      </c>
      <c r="B20" s="21" t="s">
        <v>2074</v>
      </c>
      <c r="C20" s="22" t="s">
        <v>201</v>
      </c>
      <c r="D20" s="12" t="s">
        <v>2075</v>
      </c>
      <c r="E20" s="35" t="s">
        <v>885</v>
      </c>
      <c r="F20" s="35" t="s">
        <v>541</v>
      </c>
      <c r="G20" s="17" t="s">
        <v>2727</v>
      </c>
      <c r="H20" s="13" t="s">
        <v>2072</v>
      </c>
      <c r="I20" s="36" t="s">
        <v>2847</v>
      </c>
      <c r="J20" s="8" t="str">
        <f t="shared" si="1"/>
        <v>Lê Chỉ Duy</v>
      </c>
      <c r="K20" s="8" t="str">
        <f t="shared" si="2"/>
        <v>Quân</v>
      </c>
    </row>
    <row r="21" spans="1:11" s="8" customFormat="1" ht="22.5" customHeight="1">
      <c r="A21" s="9">
        <f t="shared" si="0"/>
        <v>15</v>
      </c>
      <c r="B21" s="21" t="s">
        <v>522</v>
      </c>
      <c r="C21" s="22" t="s">
        <v>399</v>
      </c>
      <c r="D21" s="12" t="s">
        <v>2076</v>
      </c>
      <c r="E21" s="35" t="s">
        <v>605</v>
      </c>
      <c r="F21" s="35" t="s">
        <v>541</v>
      </c>
      <c r="G21" s="17" t="s">
        <v>2626</v>
      </c>
      <c r="H21" s="13" t="s">
        <v>2072</v>
      </c>
      <c r="I21" s="35" t="s">
        <v>2601</v>
      </c>
      <c r="J21" s="8" t="str">
        <f t="shared" si="1"/>
        <v>Nguyễn Thanh</v>
      </c>
      <c r="K21" s="8" t="str">
        <f t="shared" si="2"/>
        <v>Thắng</v>
      </c>
    </row>
    <row r="22" spans="1:11" s="8" customFormat="1" ht="22.5" customHeight="1">
      <c r="A22" s="9">
        <f t="shared" si="0"/>
        <v>16</v>
      </c>
      <c r="B22" s="21" t="s">
        <v>1137</v>
      </c>
      <c r="C22" s="22" t="s">
        <v>312</v>
      </c>
      <c r="D22" s="12">
        <v>39536</v>
      </c>
      <c r="E22" s="35" t="s">
        <v>1436</v>
      </c>
      <c r="F22" s="35" t="s">
        <v>573</v>
      </c>
      <c r="G22" s="17" t="s">
        <v>1437</v>
      </c>
      <c r="H22" s="13"/>
      <c r="I22" s="35" t="s">
        <v>2207</v>
      </c>
      <c r="J22" s="8" t="str">
        <f t="shared" si="1"/>
        <v>Lê Bảo</v>
      </c>
      <c r="K22" s="8" t="str">
        <f t="shared" si="2"/>
        <v>Thi</v>
      </c>
    </row>
    <row r="23" spans="1:11" s="8" customFormat="1" ht="22.5" customHeight="1">
      <c r="A23" s="9">
        <f t="shared" si="0"/>
        <v>17</v>
      </c>
      <c r="B23" s="21" t="s">
        <v>1944</v>
      </c>
      <c r="C23" s="22" t="s">
        <v>130</v>
      </c>
      <c r="D23" s="12">
        <v>39480</v>
      </c>
      <c r="E23" s="35" t="s">
        <v>2623</v>
      </c>
      <c r="F23" s="35" t="s">
        <v>553</v>
      </c>
      <c r="G23" s="17" t="s">
        <v>2624</v>
      </c>
      <c r="H23" s="13" t="s">
        <v>1936</v>
      </c>
      <c r="I23" s="35" t="s">
        <v>2625</v>
      </c>
      <c r="J23" s="8" t="str">
        <f t="shared" ref="J23:K28" si="3">PROPER(B23)</f>
        <v>Văn Đình</v>
      </c>
      <c r="K23" s="8" t="str">
        <f t="shared" si="3"/>
        <v>Toàn</v>
      </c>
    </row>
    <row r="24" spans="1:11" s="8" customFormat="1" ht="22.5" customHeight="1">
      <c r="A24" s="9">
        <f t="shared" si="0"/>
        <v>18</v>
      </c>
      <c r="B24" s="21" t="s">
        <v>1133</v>
      </c>
      <c r="C24" s="22" t="s">
        <v>68</v>
      </c>
      <c r="D24" s="12">
        <v>39682</v>
      </c>
      <c r="E24" s="35" t="s">
        <v>547</v>
      </c>
      <c r="F24" s="35" t="s">
        <v>541</v>
      </c>
      <c r="G24" s="17" t="s">
        <v>2989</v>
      </c>
      <c r="H24" s="13" t="s">
        <v>2759</v>
      </c>
      <c r="I24" s="35" t="s">
        <v>2204</v>
      </c>
      <c r="J24" s="8" t="str">
        <f t="shared" si="3"/>
        <v>Nguyễn Văn</v>
      </c>
      <c r="K24" s="8" t="str">
        <f t="shared" si="3"/>
        <v>Trường</v>
      </c>
    </row>
    <row r="25" spans="1:11" s="8" customFormat="1" ht="22.5" customHeight="1">
      <c r="A25" s="9">
        <f t="shared" si="0"/>
        <v>19</v>
      </c>
      <c r="B25" s="21" t="s">
        <v>3351</v>
      </c>
      <c r="C25" s="22" t="s">
        <v>1278</v>
      </c>
      <c r="D25" s="12" t="s">
        <v>3353</v>
      </c>
      <c r="E25" s="35" t="s">
        <v>733</v>
      </c>
      <c r="F25" s="35" t="s">
        <v>731</v>
      </c>
      <c r="G25" s="17" t="s">
        <v>3405</v>
      </c>
      <c r="H25" s="13" t="s">
        <v>3349</v>
      </c>
      <c r="I25" s="35" t="s">
        <v>2847</v>
      </c>
      <c r="J25" s="8" t="str">
        <f t="shared" si="3"/>
        <v>Hồ Bá</v>
      </c>
      <c r="K25" s="8" t="str">
        <f t="shared" si="3"/>
        <v>Tuấn</v>
      </c>
    </row>
    <row r="26" spans="1:11" s="8" customFormat="1" ht="22.5" customHeight="1">
      <c r="A26" s="9">
        <f t="shared" si="0"/>
        <v>20</v>
      </c>
      <c r="B26" s="21" t="s">
        <v>1765</v>
      </c>
      <c r="C26" s="22" t="s">
        <v>1766</v>
      </c>
      <c r="D26" s="12">
        <v>39674</v>
      </c>
      <c r="E26" s="35" t="s">
        <v>749</v>
      </c>
      <c r="F26" s="35" t="s">
        <v>541</v>
      </c>
      <c r="G26" s="17" t="s">
        <v>2619</v>
      </c>
      <c r="H26" s="13" t="s">
        <v>1767</v>
      </c>
      <c r="I26" s="35" t="s">
        <v>2204</v>
      </c>
      <c r="J26" s="8" t="str">
        <f t="shared" si="3"/>
        <v>Nguyễn Văn Thành</v>
      </c>
      <c r="K26" s="8" t="str">
        <f t="shared" si="3"/>
        <v>Võ</v>
      </c>
    </row>
    <row r="27" spans="1:11" s="8" customFormat="1" ht="22.5" customHeight="1">
      <c r="A27" s="9">
        <f t="shared" si="0"/>
        <v>21</v>
      </c>
      <c r="B27" s="21" t="s">
        <v>114</v>
      </c>
      <c r="C27" s="22" t="s">
        <v>111</v>
      </c>
      <c r="D27" s="12">
        <v>38737</v>
      </c>
      <c r="E27" s="35" t="s">
        <v>562</v>
      </c>
      <c r="F27" s="35" t="s">
        <v>541</v>
      </c>
      <c r="G27" s="17" t="s">
        <v>805</v>
      </c>
      <c r="H27" s="13"/>
      <c r="I27" s="35" t="s">
        <v>2204</v>
      </c>
      <c r="J27" s="8" t="str">
        <f t="shared" si="3"/>
        <v xml:space="preserve">Trương Văn </v>
      </c>
      <c r="K27" s="8" t="str">
        <f t="shared" si="3"/>
        <v>Vũ</v>
      </c>
    </row>
    <row r="28" spans="1:11" s="8" customFormat="1" ht="22.5" customHeight="1">
      <c r="A28" s="9">
        <f t="shared" si="0"/>
        <v>22</v>
      </c>
      <c r="B28" s="21" t="s">
        <v>2938</v>
      </c>
      <c r="C28" s="22" t="s">
        <v>111</v>
      </c>
      <c r="D28" s="12" t="s">
        <v>2940</v>
      </c>
      <c r="E28" s="35" t="s">
        <v>3108</v>
      </c>
      <c r="F28" s="35" t="s">
        <v>553</v>
      </c>
      <c r="G28" s="17" t="s">
        <v>3109</v>
      </c>
      <c r="H28" s="13" t="s">
        <v>2841</v>
      </c>
      <c r="I28" s="35" t="s">
        <v>2204</v>
      </c>
      <c r="J28" s="8" t="str">
        <f t="shared" si="3"/>
        <v>Trần Hữu Lê</v>
      </c>
      <c r="K28" s="8" t="str">
        <f t="shared" si="3"/>
        <v>Vũ</v>
      </c>
    </row>
    <row r="29" spans="1:11" s="8" customFormat="1" ht="22.5" customHeight="1">
      <c r="A29" s="9">
        <f t="shared" si="0"/>
        <v>23</v>
      </c>
      <c r="B29" s="21" t="s">
        <v>3441</v>
      </c>
      <c r="C29" s="22" t="s">
        <v>151</v>
      </c>
      <c r="D29" s="12">
        <v>39236</v>
      </c>
      <c r="E29" s="35" t="s">
        <v>904</v>
      </c>
      <c r="F29" s="35" t="s">
        <v>544</v>
      </c>
      <c r="G29" s="17" t="s">
        <v>3463</v>
      </c>
      <c r="H29" s="13" t="s">
        <v>3435</v>
      </c>
      <c r="I29" s="35" t="s">
        <v>2207</v>
      </c>
    </row>
    <row r="30" spans="1:11" s="8" customFormat="1" ht="22.5" customHeight="1">
      <c r="A30" s="9">
        <f t="shared" si="0"/>
        <v>24</v>
      </c>
      <c r="B30" s="21" t="s">
        <v>3532</v>
      </c>
      <c r="C30" s="22" t="s">
        <v>135</v>
      </c>
      <c r="D30" s="12" t="s">
        <v>3529</v>
      </c>
      <c r="E30" s="35"/>
      <c r="F30" s="35"/>
      <c r="G30" s="17"/>
      <c r="H30" s="13" t="s">
        <v>3527</v>
      </c>
      <c r="I30" s="35" t="s">
        <v>2204</v>
      </c>
    </row>
    <row r="31" spans="1:11" s="8" customFormat="1" ht="22.5" customHeight="1">
      <c r="A31" s="9">
        <f t="shared" si="0"/>
        <v>25</v>
      </c>
      <c r="B31" s="21" t="s">
        <v>1467</v>
      </c>
      <c r="C31" s="22" t="s">
        <v>55</v>
      </c>
      <c r="D31" s="12" t="s">
        <v>3530</v>
      </c>
      <c r="E31" s="35"/>
      <c r="F31" s="35"/>
      <c r="G31" s="17"/>
      <c r="H31" s="13" t="s">
        <v>3527</v>
      </c>
      <c r="I31" s="35" t="s">
        <v>2204</v>
      </c>
    </row>
    <row r="32" spans="1:11" s="8" customFormat="1" ht="22.5" customHeight="1">
      <c r="A32" s="9">
        <f t="shared" si="0"/>
        <v>26</v>
      </c>
      <c r="B32" s="21" t="s">
        <v>1125</v>
      </c>
      <c r="C32" s="22" t="s">
        <v>70</v>
      </c>
      <c r="D32" s="12" t="s">
        <v>3531</v>
      </c>
      <c r="E32" s="35" t="s">
        <v>629</v>
      </c>
      <c r="F32" s="35" t="s">
        <v>541</v>
      </c>
      <c r="G32" s="17" t="s">
        <v>3550</v>
      </c>
      <c r="H32" s="13" t="s">
        <v>3527</v>
      </c>
      <c r="I32" s="35" t="s">
        <v>3549</v>
      </c>
    </row>
    <row r="33" spans="1:9" s="8" customFormat="1" ht="22.5" customHeight="1">
      <c r="A33" s="9">
        <f t="shared" si="0"/>
        <v>27</v>
      </c>
      <c r="B33" s="21" t="s">
        <v>1209</v>
      </c>
      <c r="C33" s="22" t="s">
        <v>42</v>
      </c>
      <c r="D33" s="12" t="s">
        <v>3528</v>
      </c>
      <c r="E33" s="35"/>
      <c r="F33" s="35"/>
      <c r="G33" s="17"/>
      <c r="H33" s="13" t="s">
        <v>3527</v>
      </c>
      <c r="I33" s="35" t="s">
        <v>2204</v>
      </c>
    </row>
  </sheetData>
  <sortState ref="B7:I28">
    <sortCondition ref="C7:C28"/>
  </sortState>
  <mergeCells count="8">
    <mergeCell ref="B6:C6"/>
    <mergeCell ref="E6:F6"/>
    <mergeCell ref="A1:D1"/>
    <mergeCell ref="E1:H1"/>
    <mergeCell ref="A2:D2"/>
    <mergeCell ref="E2:H2"/>
    <mergeCell ref="A4:H4"/>
    <mergeCell ref="A5:H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22" workbookViewId="0">
      <selection activeCell="B10" sqref="B10"/>
    </sheetView>
  </sheetViews>
  <sheetFormatPr defaultRowHeight="15"/>
  <cols>
    <col min="1" max="1" width="5.28515625" style="1" customWidth="1"/>
    <col min="2" max="2" width="18.140625" style="1" customWidth="1"/>
    <col min="3" max="3" width="8.28515625" style="1" customWidth="1"/>
    <col min="4" max="4" width="9.85546875" style="1" customWidth="1"/>
    <col min="5" max="5" width="17.5703125" style="1" customWidth="1"/>
    <col min="6" max="6" width="14" style="1" customWidth="1"/>
    <col min="7" max="7" width="13.5703125" style="1" customWidth="1"/>
    <col min="8" max="8" width="21.42578125" style="1" customWidth="1"/>
    <col min="9" max="9" width="20.7109375" style="1" customWidth="1"/>
    <col min="10" max="10" width="15" style="1" customWidth="1"/>
    <col min="11" max="16384" width="9.140625" style="1"/>
  </cols>
  <sheetData>
    <row r="1" spans="1:9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  <c r="I1" s="233"/>
    </row>
    <row r="2" spans="1:9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  <c r="I2" s="233"/>
    </row>
    <row r="3" spans="1:9" ht="15.75" customHeight="1">
      <c r="A3" s="2"/>
      <c r="B3" s="3"/>
      <c r="C3" s="3"/>
      <c r="D3" s="3"/>
    </row>
    <row r="4" spans="1:9" ht="15.75" customHeight="1">
      <c r="A4" s="308" t="s">
        <v>10</v>
      </c>
      <c r="B4" s="308"/>
      <c r="C4" s="308"/>
      <c r="D4" s="308"/>
      <c r="E4" s="308"/>
      <c r="F4" s="308"/>
      <c r="G4" s="308"/>
      <c r="H4" s="308"/>
      <c r="I4" s="234"/>
    </row>
    <row r="5" spans="1:9" s="4" customFormat="1" ht="23.25" customHeight="1">
      <c r="A5" s="309" t="s">
        <v>3392</v>
      </c>
      <c r="B5" s="309"/>
      <c r="C5" s="309"/>
      <c r="D5" s="309"/>
      <c r="E5" s="309"/>
      <c r="F5" s="309"/>
      <c r="G5" s="309"/>
      <c r="H5" s="309"/>
      <c r="I5" s="235"/>
    </row>
    <row r="6" spans="1:9" s="8" customFormat="1" ht="45.75" customHeight="1">
      <c r="A6" s="5" t="s">
        <v>4</v>
      </c>
      <c r="B6" s="302" t="s">
        <v>5</v>
      </c>
      <c r="C6" s="303"/>
      <c r="D6" s="6" t="s">
        <v>6</v>
      </c>
      <c r="E6" s="304" t="s">
        <v>11</v>
      </c>
      <c r="F6" s="305"/>
      <c r="G6" s="20" t="s">
        <v>226</v>
      </c>
      <c r="H6" s="7" t="s">
        <v>7</v>
      </c>
      <c r="I6" s="6" t="s">
        <v>2611</v>
      </c>
    </row>
    <row r="7" spans="1:9" s="8" customFormat="1" ht="22.5" customHeight="1">
      <c r="A7" s="9">
        <f>ROW()-6</f>
        <v>1</v>
      </c>
      <c r="B7" s="21" t="s">
        <v>2808</v>
      </c>
      <c r="C7" s="22" t="s">
        <v>2809</v>
      </c>
      <c r="D7" s="12">
        <v>39754</v>
      </c>
      <c r="E7" s="35" t="s">
        <v>2982</v>
      </c>
      <c r="F7" s="35" t="s">
        <v>541</v>
      </c>
      <c r="G7" s="17" t="s">
        <v>2983</v>
      </c>
      <c r="H7" s="13" t="s">
        <v>2806</v>
      </c>
      <c r="I7" s="35" t="s">
        <v>2204</v>
      </c>
    </row>
    <row r="8" spans="1:9" s="8" customFormat="1" ht="22.5" customHeight="1">
      <c r="A8" s="9">
        <f t="shared" ref="A8:A36" si="0">ROW()-6</f>
        <v>2</v>
      </c>
      <c r="B8" s="21" t="s">
        <v>1582</v>
      </c>
      <c r="C8" s="281" t="s">
        <v>25</v>
      </c>
      <c r="D8" s="12" t="s">
        <v>1241</v>
      </c>
      <c r="E8" s="35" t="s">
        <v>749</v>
      </c>
      <c r="F8" s="35" t="s">
        <v>541</v>
      </c>
      <c r="G8" s="17" t="s">
        <v>2635</v>
      </c>
      <c r="H8" s="13" t="s">
        <v>1602</v>
      </c>
      <c r="I8" s="35" t="s">
        <v>2204</v>
      </c>
    </row>
    <row r="9" spans="1:9" s="8" customFormat="1" ht="22.5" customHeight="1">
      <c r="A9" s="9">
        <f t="shared" si="0"/>
        <v>3</v>
      </c>
      <c r="B9" s="21" t="s">
        <v>2047</v>
      </c>
      <c r="C9" s="22" t="s">
        <v>324</v>
      </c>
      <c r="D9" s="12">
        <v>39193</v>
      </c>
      <c r="E9" s="35" t="s">
        <v>885</v>
      </c>
      <c r="F9" s="35" t="s">
        <v>541</v>
      </c>
      <c r="G9" s="17" t="s">
        <v>2621</v>
      </c>
      <c r="H9" s="13" t="s">
        <v>2018</v>
      </c>
      <c r="I9" s="35" t="s">
        <v>2622</v>
      </c>
    </row>
    <row r="10" spans="1:9" s="8" customFormat="1" ht="22.5" customHeight="1">
      <c r="A10" s="9">
        <f t="shared" si="0"/>
        <v>4</v>
      </c>
      <c r="B10" s="21" t="s">
        <v>522</v>
      </c>
      <c r="C10" s="22" t="s">
        <v>27</v>
      </c>
      <c r="D10" s="280">
        <v>39585</v>
      </c>
      <c r="E10" s="35"/>
      <c r="F10" s="35"/>
      <c r="G10" s="17" t="s">
        <v>3376</v>
      </c>
      <c r="H10" s="13" t="s">
        <v>3366</v>
      </c>
      <c r="I10" s="283" t="s">
        <v>2847</v>
      </c>
    </row>
    <row r="11" spans="1:9" s="8" customFormat="1" ht="22.5" customHeight="1">
      <c r="A11" s="9">
        <f t="shared" si="0"/>
        <v>5</v>
      </c>
      <c r="B11" s="21" t="s">
        <v>1407</v>
      </c>
      <c r="C11" s="22" t="s">
        <v>489</v>
      </c>
      <c r="D11" s="12">
        <v>39767</v>
      </c>
      <c r="E11" s="35" t="s">
        <v>630</v>
      </c>
      <c r="F11" s="35" t="s">
        <v>541</v>
      </c>
      <c r="G11" s="17" t="s">
        <v>2631</v>
      </c>
      <c r="H11" s="13"/>
      <c r="I11" s="35" t="s">
        <v>2204</v>
      </c>
    </row>
    <row r="12" spans="1:9" s="8" customFormat="1" ht="22.5" customHeight="1">
      <c r="A12" s="9">
        <f t="shared" si="0"/>
        <v>6</v>
      </c>
      <c r="B12" s="21" t="s">
        <v>524</v>
      </c>
      <c r="C12" s="22" t="s">
        <v>307</v>
      </c>
      <c r="D12" s="279" t="s">
        <v>3352</v>
      </c>
      <c r="E12" s="35" t="s">
        <v>2229</v>
      </c>
      <c r="F12" s="35" t="s">
        <v>556</v>
      </c>
      <c r="G12" s="17" t="s">
        <v>3354</v>
      </c>
      <c r="H12" s="13" t="s">
        <v>3349</v>
      </c>
      <c r="I12" s="199" t="s">
        <v>2204</v>
      </c>
    </row>
    <row r="13" spans="1:9" s="8" customFormat="1" ht="22.5" customHeight="1">
      <c r="A13" s="9">
        <f t="shared" si="0"/>
        <v>7</v>
      </c>
      <c r="B13" s="21" t="s">
        <v>2849</v>
      </c>
      <c r="C13" s="22" t="s">
        <v>17</v>
      </c>
      <c r="D13" s="12" t="s">
        <v>1531</v>
      </c>
      <c r="E13" s="35" t="s">
        <v>2201</v>
      </c>
      <c r="F13" s="35" t="s">
        <v>565</v>
      </c>
      <c r="G13" s="17" t="s">
        <v>3088</v>
      </c>
      <c r="H13" s="13" t="s">
        <v>2844</v>
      </c>
      <c r="I13" s="35" t="s">
        <v>2204</v>
      </c>
    </row>
    <row r="14" spans="1:9" s="8" customFormat="1" ht="22.5" customHeight="1">
      <c r="A14" s="9">
        <f t="shared" si="0"/>
        <v>8</v>
      </c>
      <c r="B14" s="21" t="s">
        <v>506</v>
      </c>
      <c r="C14" s="22" t="s">
        <v>123</v>
      </c>
      <c r="D14" s="12" t="s">
        <v>1584</v>
      </c>
      <c r="E14" s="35" t="s">
        <v>749</v>
      </c>
      <c r="F14" s="35" t="s">
        <v>541</v>
      </c>
      <c r="G14" s="17" t="s">
        <v>2628</v>
      </c>
      <c r="H14" s="13" t="s">
        <v>1602</v>
      </c>
      <c r="I14" s="35" t="s">
        <v>2207</v>
      </c>
    </row>
    <row r="15" spans="1:9" s="8" customFormat="1" ht="22.5" customHeight="1">
      <c r="A15" s="9">
        <f t="shared" si="0"/>
        <v>9</v>
      </c>
      <c r="B15" s="21" t="s">
        <v>481</v>
      </c>
      <c r="C15" s="22" t="s">
        <v>128</v>
      </c>
      <c r="D15" s="12">
        <v>39616</v>
      </c>
      <c r="E15" s="35" t="s">
        <v>908</v>
      </c>
      <c r="F15" s="35" t="s">
        <v>573</v>
      </c>
      <c r="G15" s="17" t="s">
        <v>1067</v>
      </c>
      <c r="H15" s="13"/>
      <c r="I15" s="35" t="s">
        <v>2636</v>
      </c>
    </row>
    <row r="16" spans="1:9" s="8" customFormat="1" ht="22.5" customHeight="1">
      <c r="A16" s="9">
        <f t="shared" si="0"/>
        <v>10</v>
      </c>
      <c r="B16" s="21" t="s">
        <v>2951</v>
      </c>
      <c r="C16" s="22" t="s">
        <v>310</v>
      </c>
      <c r="D16" s="12">
        <v>39678</v>
      </c>
      <c r="E16" s="35" t="s">
        <v>2975</v>
      </c>
      <c r="F16" s="35" t="s">
        <v>541</v>
      </c>
      <c r="G16" s="17" t="s">
        <v>2976</v>
      </c>
      <c r="H16" s="13" t="s">
        <v>1955</v>
      </c>
      <c r="I16" s="35" t="s">
        <v>2204</v>
      </c>
    </row>
    <row r="17" spans="1:11" s="8" customFormat="1" ht="22.5" customHeight="1">
      <c r="A17" s="9">
        <f t="shared" si="0"/>
        <v>11</v>
      </c>
      <c r="B17" s="21" t="s">
        <v>1829</v>
      </c>
      <c r="C17" s="22" t="s">
        <v>58</v>
      </c>
      <c r="D17" s="12" t="s">
        <v>1831</v>
      </c>
      <c r="E17" s="35" t="s">
        <v>1389</v>
      </c>
      <c r="F17" s="35" t="s">
        <v>541</v>
      </c>
      <c r="G17" s="17" t="s">
        <v>2617</v>
      </c>
      <c r="H17" s="13" t="s">
        <v>1833</v>
      </c>
      <c r="I17" s="35" t="s">
        <v>2862</v>
      </c>
      <c r="J17" s="8" t="str">
        <f>PROPER(B17)</f>
        <v>Huỳnh Tuấn</v>
      </c>
      <c r="K17" s="8" t="str">
        <f>PROPER(C17)</f>
        <v>Khang</v>
      </c>
    </row>
    <row r="18" spans="1:11" s="8" customFormat="1" ht="22.5" customHeight="1">
      <c r="A18" s="9">
        <f t="shared" si="0"/>
        <v>12</v>
      </c>
      <c r="B18" s="21" t="s">
        <v>477</v>
      </c>
      <c r="C18" s="22" t="s">
        <v>478</v>
      </c>
      <c r="D18" s="12">
        <v>39637</v>
      </c>
      <c r="E18" s="35" t="s">
        <v>787</v>
      </c>
      <c r="F18" s="35" t="s">
        <v>541</v>
      </c>
      <c r="G18" s="17" t="s">
        <v>801</v>
      </c>
      <c r="H18" s="13" t="s">
        <v>567</v>
      </c>
      <c r="I18" s="35" t="s">
        <v>2204</v>
      </c>
      <c r="J18" s="8" t="str">
        <f t="shared" ref="J18:K20" si="1">PROPER(B18)</f>
        <v xml:space="preserve">Trịnh Hiểu  </v>
      </c>
      <c r="K18" s="8" t="str">
        <f t="shared" si="1"/>
        <v>Kỳ</v>
      </c>
    </row>
    <row r="19" spans="1:11" s="8" customFormat="1" ht="22.5" customHeight="1">
      <c r="A19" s="9">
        <f t="shared" si="0"/>
        <v>13</v>
      </c>
      <c r="B19" s="21" t="s">
        <v>3075</v>
      </c>
      <c r="C19" s="22" t="s">
        <v>331</v>
      </c>
      <c r="D19" s="12" t="s">
        <v>1346</v>
      </c>
      <c r="E19" s="35"/>
      <c r="F19" s="35"/>
      <c r="G19" s="17"/>
      <c r="H19" s="13" t="s">
        <v>3130</v>
      </c>
      <c r="I19" s="35" t="s">
        <v>3162</v>
      </c>
      <c r="J19" s="8" t="str">
        <f t="shared" si="1"/>
        <v>Võ Thị Hoài</v>
      </c>
      <c r="K19" s="8" t="str">
        <f t="shared" si="1"/>
        <v>Ngọc</v>
      </c>
    </row>
    <row r="20" spans="1:11" s="8" customFormat="1" ht="22.5" customHeight="1">
      <c r="A20" s="9">
        <f t="shared" si="0"/>
        <v>14</v>
      </c>
      <c r="B20" s="21" t="s">
        <v>2259</v>
      </c>
      <c r="C20" s="22" t="s">
        <v>315</v>
      </c>
      <c r="D20" s="12" t="s">
        <v>2247</v>
      </c>
      <c r="E20" s="35" t="s">
        <v>629</v>
      </c>
      <c r="F20" s="35" t="s">
        <v>541</v>
      </c>
      <c r="G20" s="17" t="s">
        <v>2612</v>
      </c>
      <c r="H20" s="13" t="s">
        <v>2243</v>
      </c>
      <c r="I20" s="35" t="s">
        <v>2204</v>
      </c>
      <c r="J20" s="8" t="str">
        <f t="shared" si="1"/>
        <v>Hà Lê Bảo</v>
      </c>
      <c r="K20" s="8" t="str">
        <f t="shared" si="1"/>
        <v>Nhi</v>
      </c>
    </row>
    <row r="21" spans="1:11" s="8" customFormat="1" ht="22.5" customHeight="1">
      <c r="A21" s="9">
        <f t="shared" si="0"/>
        <v>15</v>
      </c>
      <c r="B21" s="21" t="s">
        <v>2538</v>
      </c>
      <c r="C21" s="22" t="s">
        <v>315</v>
      </c>
      <c r="D21" s="12" t="s">
        <v>2094</v>
      </c>
      <c r="E21" s="35" t="s">
        <v>2614</v>
      </c>
      <c r="F21" s="35" t="s">
        <v>553</v>
      </c>
      <c r="G21" s="17" t="s">
        <v>2615</v>
      </c>
      <c r="H21" s="13" t="s">
        <v>2531</v>
      </c>
      <c r="I21" s="35" t="s">
        <v>2613</v>
      </c>
      <c r="J21" s="8" t="str">
        <f t="shared" ref="J21:J25" si="2">PROPER(B21)</f>
        <v>Đỗ Bạch Song</v>
      </c>
      <c r="K21" s="8" t="str">
        <f t="shared" ref="K21:K25" si="3">PROPER(C21)</f>
        <v>Nhi</v>
      </c>
    </row>
    <row r="22" spans="1:11" s="8" customFormat="1" ht="22.5" customHeight="1">
      <c r="A22" s="9">
        <f t="shared" si="0"/>
        <v>16</v>
      </c>
      <c r="B22" s="21" t="s">
        <v>2850</v>
      </c>
      <c r="C22" s="22" t="s">
        <v>298</v>
      </c>
      <c r="D22" s="12" t="s">
        <v>2852</v>
      </c>
      <c r="E22" s="35"/>
      <c r="F22" s="35"/>
      <c r="G22" s="17" t="s">
        <v>3089</v>
      </c>
      <c r="H22" s="13" t="s">
        <v>2844</v>
      </c>
      <c r="I22" s="35" t="s">
        <v>2204</v>
      </c>
      <c r="J22" s="8" t="str">
        <f t="shared" si="2"/>
        <v>Phạm Lê Kiều</v>
      </c>
      <c r="K22" s="8" t="str">
        <f t="shared" si="3"/>
        <v>Oanh</v>
      </c>
    </row>
    <row r="23" spans="1:11" s="8" customFormat="1" ht="22.5" customHeight="1">
      <c r="A23" s="9">
        <f t="shared" si="0"/>
        <v>17</v>
      </c>
      <c r="B23" s="21" t="s">
        <v>1581</v>
      </c>
      <c r="C23" s="22" t="s">
        <v>1538</v>
      </c>
      <c r="D23" s="12" t="s">
        <v>1583</v>
      </c>
      <c r="E23" s="35" t="s">
        <v>2101</v>
      </c>
      <c r="F23" s="35" t="s">
        <v>544</v>
      </c>
      <c r="G23" s="17" t="s">
        <v>2634</v>
      </c>
      <c r="H23" s="172" t="s">
        <v>3282</v>
      </c>
      <c r="I23" s="35" t="s">
        <v>2204</v>
      </c>
      <c r="J23" s="8" t="str">
        <f t="shared" si="2"/>
        <v>Huỳnh Văn</v>
      </c>
      <c r="K23" s="8" t="str">
        <f t="shared" si="3"/>
        <v>Pháp</v>
      </c>
    </row>
    <row r="24" spans="1:11" s="8" customFormat="1" ht="22.5" customHeight="1">
      <c r="A24" s="9">
        <f t="shared" si="0"/>
        <v>18</v>
      </c>
      <c r="B24" s="21" t="s">
        <v>1830</v>
      </c>
      <c r="C24" s="22" t="s">
        <v>96</v>
      </c>
      <c r="D24" s="12" t="s">
        <v>1832</v>
      </c>
      <c r="E24" s="35" t="s">
        <v>2726</v>
      </c>
      <c r="F24" s="35" t="s">
        <v>544</v>
      </c>
      <c r="G24" s="17" t="s">
        <v>2725</v>
      </c>
      <c r="H24" s="13" t="s">
        <v>1833</v>
      </c>
      <c r="I24" s="35" t="s">
        <v>2204</v>
      </c>
      <c r="J24" s="8" t="str">
        <f t="shared" si="2"/>
        <v>Trần Tân</v>
      </c>
      <c r="K24" s="8" t="str">
        <f t="shared" si="3"/>
        <v>Phát</v>
      </c>
    </row>
    <row r="25" spans="1:11" s="8" customFormat="1" ht="22.5" customHeight="1">
      <c r="A25" s="9">
        <f t="shared" si="0"/>
        <v>19</v>
      </c>
      <c r="B25" s="21" t="s">
        <v>476</v>
      </c>
      <c r="C25" s="22" t="s">
        <v>19</v>
      </c>
      <c r="D25" s="12">
        <v>39300</v>
      </c>
      <c r="E25" s="35" t="s">
        <v>787</v>
      </c>
      <c r="F25" s="35" t="s">
        <v>541</v>
      </c>
      <c r="G25" s="17" t="s">
        <v>803</v>
      </c>
      <c r="H25" s="13"/>
      <c r="I25" s="35" t="s">
        <v>2204</v>
      </c>
      <c r="J25" s="8" t="str">
        <f t="shared" si="2"/>
        <v xml:space="preserve">Nguyễn Hữu Hồng </v>
      </c>
      <c r="K25" s="8" t="str">
        <f t="shared" si="3"/>
        <v>Phúc</v>
      </c>
    </row>
    <row r="26" spans="1:11" s="8" customFormat="1" ht="22.5" customHeight="1">
      <c r="A26" s="9">
        <f t="shared" si="0"/>
        <v>20</v>
      </c>
      <c r="B26" s="21" t="s">
        <v>2848</v>
      </c>
      <c r="C26" s="22" t="s">
        <v>64</v>
      </c>
      <c r="D26" s="12" t="s">
        <v>2851</v>
      </c>
      <c r="E26" s="35"/>
      <c r="F26" s="35"/>
      <c r="G26" s="17" t="s">
        <v>3085</v>
      </c>
      <c r="H26" s="13" t="s">
        <v>2844</v>
      </c>
      <c r="I26" s="35" t="s">
        <v>2204</v>
      </c>
      <c r="J26" s="8" t="str">
        <f t="shared" ref="J26:J29" si="4">PROPER(B26)</f>
        <v>Dương Ngọc</v>
      </c>
      <c r="K26" s="8" t="str">
        <f t="shared" ref="K26:K29" si="5">PROPER(C26)</f>
        <v>Quang</v>
      </c>
    </row>
    <row r="27" spans="1:11" s="8" customFormat="1" ht="22.5" customHeight="1">
      <c r="A27" s="9">
        <f t="shared" si="0"/>
        <v>21</v>
      </c>
      <c r="B27" s="21" t="s">
        <v>1796</v>
      </c>
      <c r="C27" s="22" t="s">
        <v>1425</v>
      </c>
      <c r="D27" s="12">
        <v>39716</v>
      </c>
      <c r="E27" s="35"/>
      <c r="F27" s="35"/>
      <c r="G27" s="17"/>
      <c r="H27" s="13"/>
      <c r="I27" s="36" t="s">
        <v>2847</v>
      </c>
      <c r="J27" s="8" t="str">
        <f t="shared" si="4"/>
        <v>Đặng Thành</v>
      </c>
      <c r="K27" s="8" t="str">
        <f t="shared" si="5"/>
        <v>Sơn</v>
      </c>
    </row>
    <row r="28" spans="1:11" s="8" customFormat="1" ht="22.5" customHeight="1">
      <c r="A28" s="9">
        <f t="shared" si="0"/>
        <v>22</v>
      </c>
      <c r="B28" s="21" t="s">
        <v>1977</v>
      </c>
      <c r="C28" s="22" t="s">
        <v>399</v>
      </c>
      <c r="D28" s="12" t="s">
        <v>1657</v>
      </c>
      <c r="E28" s="35" t="s">
        <v>693</v>
      </c>
      <c r="F28" s="35" t="s">
        <v>556</v>
      </c>
      <c r="G28" s="17" t="s">
        <v>2620</v>
      </c>
      <c r="H28" s="13" t="s">
        <v>1955</v>
      </c>
      <c r="I28" s="35" t="s">
        <v>2204</v>
      </c>
      <c r="J28" s="8" t="str">
        <f t="shared" si="4"/>
        <v>Hoàng Ngọc</v>
      </c>
      <c r="K28" s="8" t="str">
        <f t="shared" si="5"/>
        <v>Thắng</v>
      </c>
    </row>
    <row r="29" spans="1:11" s="8" customFormat="1" ht="22.5" customHeight="1">
      <c r="A29" s="9">
        <f t="shared" si="0"/>
        <v>23</v>
      </c>
      <c r="B29" s="21" t="s">
        <v>1074</v>
      </c>
      <c r="C29" s="22" t="s">
        <v>47</v>
      </c>
      <c r="D29" s="12">
        <v>39649</v>
      </c>
      <c r="E29" s="35" t="s">
        <v>703</v>
      </c>
      <c r="F29" s="35" t="s">
        <v>541</v>
      </c>
      <c r="G29" s="17" t="s">
        <v>1438</v>
      </c>
      <c r="H29" s="17"/>
      <c r="I29" s="50" t="s">
        <v>2204</v>
      </c>
      <c r="J29" s="8" t="str">
        <f t="shared" si="4"/>
        <v>Huỳnh Công</v>
      </c>
      <c r="K29" s="8" t="str">
        <f t="shared" si="5"/>
        <v>Thịnh</v>
      </c>
    </row>
    <row r="30" spans="1:11" s="8" customFormat="1" ht="22.5" customHeight="1">
      <c r="A30" s="9">
        <f t="shared" si="0"/>
        <v>24</v>
      </c>
      <c r="B30" s="21" t="s">
        <v>2073</v>
      </c>
      <c r="C30" s="22" t="s">
        <v>2014</v>
      </c>
      <c r="D30" s="12" t="s">
        <v>1825</v>
      </c>
      <c r="E30" s="35" t="s">
        <v>2638</v>
      </c>
      <c r="F30" s="35" t="s">
        <v>2637</v>
      </c>
      <c r="G30" s="17" t="s">
        <v>2639</v>
      </c>
      <c r="H30" s="13" t="s">
        <v>2072</v>
      </c>
      <c r="I30" s="35" t="s">
        <v>2204</v>
      </c>
      <c r="J30" s="8" t="str">
        <f t="shared" ref="J30:K33" si="6">PROPER(B30)</f>
        <v>Thái Quang</v>
      </c>
      <c r="K30" s="8" t="str">
        <f t="shared" si="6"/>
        <v>Thọ</v>
      </c>
    </row>
    <row r="31" spans="1:11" s="8" customFormat="1" ht="22.5" customHeight="1">
      <c r="A31" s="9">
        <f t="shared" si="0"/>
        <v>25</v>
      </c>
      <c r="B31" s="21" t="s">
        <v>2119</v>
      </c>
      <c r="C31" s="22" t="s">
        <v>257</v>
      </c>
      <c r="D31" s="12" t="s">
        <v>2120</v>
      </c>
      <c r="E31" s="35" t="s">
        <v>592</v>
      </c>
      <c r="F31" s="35" t="s">
        <v>556</v>
      </c>
      <c r="G31" s="17">
        <v>326093440</v>
      </c>
      <c r="H31" s="13" t="s">
        <v>2106</v>
      </c>
      <c r="I31" s="35" t="s">
        <v>2215</v>
      </c>
      <c r="J31" s="8" t="str">
        <f t="shared" si="6"/>
        <v>Nguyễn Đỗ Anh</v>
      </c>
      <c r="K31" s="8" t="str">
        <f t="shared" si="6"/>
        <v>Thư</v>
      </c>
    </row>
    <row r="32" spans="1:11" s="8" customFormat="1" ht="22.5" customHeight="1">
      <c r="A32" s="9">
        <f t="shared" si="0"/>
        <v>26</v>
      </c>
      <c r="B32" s="21" t="s">
        <v>482</v>
      </c>
      <c r="C32" s="22" t="s">
        <v>327</v>
      </c>
      <c r="D32" s="12">
        <v>39392</v>
      </c>
      <c r="E32" s="12" t="s">
        <v>800</v>
      </c>
      <c r="F32" s="35" t="s">
        <v>541</v>
      </c>
      <c r="G32" s="17" t="s">
        <v>804</v>
      </c>
      <c r="H32" s="13" t="s">
        <v>578</v>
      </c>
      <c r="I32" s="35" t="s">
        <v>2204</v>
      </c>
      <c r="J32" s="8" t="str">
        <f t="shared" si="6"/>
        <v xml:space="preserve">Nguyễn Ngọc Bảo </v>
      </c>
      <c r="K32" s="8" t="str">
        <f t="shared" si="6"/>
        <v>Trân</v>
      </c>
    </row>
    <row r="33" spans="1:11" s="8" customFormat="1" ht="22.5" customHeight="1">
      <c r="A33" s="9">
        <f t="shared" si="0"/>
        <v>27</v>
      </c>
      <c r="B33" s="21" t="s">
        <v>1073</v>
      </c>
      <c r="C33" s="22" t="s">
        <v>224</v>
      </c>
      <c r="D33" s="12">
        <v>39660</v>
      </c>
      <c r="E33" s="35" t="s">
        <v>562</v>
      </c>
      <c r="F33" s="35" t="s">
        <v>541</v>
      </c>
      <c r="G33" s="17" t="s">
        <v>563</v>
      </c>
      <c r="H33" s="17"/>
      <c r="I33" s="50" t="s">
        <v>2204</v>
      </c>
      <c r="J33" s="8" t="str">
        <f t="shared" si="6"/>
        <v>Đỗ Văn Đức</v>
      </c>
      <c r="K33" s="8" t="str">
        <f t="shared" si="6"/>
        <v>Trí</v>
      </c>
    </row>
    <row r="34" spans="1:11" s="8" customFormat="1" ht="22.5" customHeight="1">
      <c r="A34" s="9">
        <f t="shared" si="0"/>
        <v>28</v>
      </c>
      <c r="B34" s="21" t="s">
        <v>1401</v>
      </c>
      <c r="C34" s="22" t="s">
        <v>3384</v>
      </c>
      <c r="D34" s="12" t="s">
        <v>3386</v>
      </c>
      <c r="E34" s="35"/>
      <c r="F34" s="35"/>
      <c r="G34" s="17"/>
      <c r="H34" s="13" t="s">
        <v>3387</v>
      </c>
      <c r="I34" s="50"/>
    </row>
    <row r="35" spans="1:11" s="8" customFormat="1" ht="22.5" customHeight="1">
      <c r="A35" s="9">
        <f t="shared" si="0"/>
        <v>29</v>
      </c>
      <c r="B35" s="21" t="s">
        <v>3385</v>
      </c>
      <c r="C35" s="22" t="s">
        <v>128</v>
      </c>
      <c r="D35" s="12" t="s">
        <v>3040</v>
      </c>
      <c r="E35" s="35"/>
      <c r="F35" s="35"/>
      <c r="G35" s="17"/>
      <c r="H35" s="13" t="s">
        <v>3387</v>
      </c>
      <c r="I35" s="50"/>
    </row>
    <row r="36" spans="1:11" s="8" customFormat="1" ht="22.5" customHeight="1">
      <c r="A36" s="9">
        <f t="shared" si="0"/>
        <v>30</v>
      </c>
      <c r="B36" s="21" t="s">
        <v>515</v>
      </c>
      <c r="C36" s="22" t="s">
        <v>58</v>
      </c>
      <c r="D36" s="12">
        <v>39383</v>
      </c>
      <c r="E36" s="35"/>
      <c r="F36" s="35"/>
      <c r="G36" s="17"/>
      <c r="H36" s="17" t="s">
        <v>3490</v>
      </c>
      <c r="I36" s="50" t="s">
        <v>2847</v>
      </c>
    </row>
  </sheetData>
  <sortState ref="B7:I33">
    <sortCondition ref="C7:C33"/>
  </sortState>
  <mergeCells count="8">
    <mergeCell ref="B6:C6"/>
    <mergeCell ref="A1:D1"/>
    <mergeCell ref="E1:H1"/>
    <mergeCell ref="A2:D2"/>
    <mergeCell ref="E2:H2"/>
    <mergeCell ref="A4:H4"/>
    <mergeCell ref="A5:H5"/>
    <mergeCell ref="E6:F6"/>
  </mergeCells>
  <pageMargins left="0.2" right="0.2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34" workbookViewId="0">
      <selection activeCell="I44" sqref="I44"/>
    </sheetView>
  </sheetViews>
  <sheetFormatPr defaultRowHeight="15"/>
  <cols>
    <col min="1" max="1" width="5.28515625" style="1" customWidth="1"/>
    <col min="2" max="2" width="18.140625" style="1" customWidth="1"/>
    <col min="3" max="3" width="8.28515625" style="1" customWidth="1"/>
    <col min="4" max="4" width="9.85546875" style="1" customWidth="1"/>
    <col min="5" max="5" width="17.5703125" style="1" customWidth="1"/>
    <col min="6" max="6" width="14" style="1" customWidth="1"/>
    <col min="7" max="7" width="13.5703125" style="1" customWidth="1"/>
    <col min="8" max="8" width="21.42578125" style="1" customWidth="1"/>
    <col min="9" max="9" width="27.85546875" style="1" customWidth="1"/>
    <col min="10" max="10" width="15" style="1" customWidth="1"/>
    <col min="11" max="16384" width="9.140625" style="1"/>
  </cols>
  <sheetData>
    <row r="1" spans="1:9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  <c r="I1" s="275"/>
    </row>
    <row r="2" spans="1:9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  <c r="I2" s="275"/>
    </row>
    <row r="3" spans="1:9" ht="15.75" customHeight="1">
      <c r="A3" s="2"/>
      <c r="B3" s="3"/>
      <c r="C3" s="3"/>
      <c r="D3" s="3"/>
    </row>
    <row r="4" spans="1:9" ht="15.75" customHeight="1">
      <c r="A4" s="308" t="s">
        <v>10</v>
      </c>
      <c r="B4" s="308"/>
      <c r="C4" s="308"/>
      <c r="D4" s="308"/>
      <c r="E4" s="308"/>
      <c r="F4" s="308"/>
      <c r="G4" s="308"/>
      <c r="H4" s="308"/>
      <c r="I4" s="276"/>
    </row>
    <row r="5" spans="1:9" s="4" customFormat="1" ht="23.25" customHeight="1">
      <c r="A5" s="309" t="s">
        <v>475</v>
      </c>
      <c r="B5" s="309"/>
      <c r="C5" s="309"/>
      <c r="D5" s="309"/>
      <c r="E5" s="309"/>
      <c r="F5" s="309"/>
      <c r="G5" s="309"/>
      <c r="H5" s="309"/>
      <c r="I5" s="277"/>
    </row>
    <row r="6" spans="1:9" s="8" customFormat="1" ht="45.75" customHeight="1">
      <c r="A6" s="5" t="s">
        <v>4</v>
      </c>
      <c r="B6" s="302" t="s">
        <v>5</v>
      </c>
      <c r="C6" s="303"/>
      <c r="D6" s="6" t="s">
        <v>6</v>
      </c>
      <c r="E6" s="304" t="s">
        <v>11</v>
      </c>
      <c r="F6" s="305"/>
      <c r="G6" s="20" t="s">
        <v>226</v>
      </c>
      <c r="H6" s="7" t="s">
        <v>7</v>
      </c>
      <c r="I6" s="6" t="s">
        <v>2611</v>
      </c>
    </row>
    <row r="7" spans="1:9" s="8" customFormat="1" ht="22.5" customHeight="1">
      <c r="A7" s="9">
        <f>ROW()-6</f>
        <v>1</v>
      </c>
      <c r="B7" s="21" t="s">
        <v>2047</v>
      </c>
      <c r="C7" s="22" t="s">
        <v>324</v>
      </c>
      <c r="D7" s="12">
        <v>39193</v>
      </c>
      <c r="E7" s="35" t="s">
        <v>885</v>
      </c>
      <c r="F7" s="35" t="s">
        <v>541</v>
      </c>
      <c r="G7" s="17" t="s">
        <v>2621</v>
      </c>
      <c r="H7" s="13" t="s">
        <v>2018</v>
      </c>
      <c r="I7" s="35" t="s">
        <v>2622</v>
      </c>
    </row>
    <row r="8" spans="1:9" s="8" customFormat="1" ht="22.5" customHeight="1">
      <c r="A8" s="9">
        <f t="shared" ref="A8:A63" si="0">ROW()-6</f>
        <v>2</v>
      </c>
      <c r="B8" s="21" t="s">
        <v>1407</v>
      </c>
      <c r="C8" s="22" t="s">
        <v>489</v>
      </c>
      <c r="D8" s="12">
        <v>39767</v>
      </c>
      <c r="E8" s="35" t="s">
        <v>630</v>
      </c>
      <c r="F8" s="35" t="s">
        <v>541</v>
      </c>
      <c r="G8" s="17" t="s">
        <v>2631</v>
      </c>
      <c r="H8" s="13"/>
      <c r="I8" s="35" t="s">
        <v>2204</v>
      </c>
    </row>
    <row r="9" spans="1:9" s="8" customFormat="1" ht="22.5" customHeight="1">
      <c r="A9" s="9">
        <f t="shared" si="0"/>
        <v>3</v>
      </c>
      <c r="B9" s="21" t="s">
        <v>506</v>
      </c>
      <c r="C9" s="22" t="s">
        <v>123</v>
      </c>
      <c r="D9" s="12" t="s">
        <v>1584</v>
      </c>
      <c r="E9" s="35" t="s">
        <v>749</v>
      </c>
      <c r="F9" s="35" t="s">
        <v>541</v>
      </c>
      <c r="G9" s="17" t="s">
        <v>2628</v>
      </c>
      <c r="H9" s="13" t="s">
        <v>1602</v>
      </c>
      <c r="I9" s="35" t="s">
        <v>2207</v>
      </c>
    </row>
    <row r="10" spans="1:9" s="8" customFormat="1" ht="22.5" customHeight="1">
      <c r="A10" s="9">
        <f t="shared" si="0"/>
        <v>4</v>
      </c>
      <c r="B10" s="21" t="s">
        <v>481</v>
      </c>
      <c r="C10" s="22" t="s">
        <v>128</v>
      </c>
      <c r="D10" s="12">
        <v>39616</v>
      </c>
      <c r="E10" s="35" t="s">
        <v>908</v>
      </c>
      <c r="F10" s="35" t="s">
        <v>573</v>
      </c>
      <c r="G10" s="17" t="s">
        <v>1067</v>
      </c>
      <c r="H10" s="13"/>
      <c r="I10" s="35" t="s">
        <v>2636</v>
      </c>
    </row>
    <row r="11" spans="1:9" s="8" customFormat="1" ht="22.5" customHeight="1">
      <c r="A11" s="9">
        <f t="shared" si="0"/>
        <v>5</v>
      </c>
      <c r="B11" s="21" t="s">
        <v>1829</v>
      </c>
      <c r="C11" s="22" t="s">
        <v>58</v>
      </c>
      <c r="D11" s="12" t="s">
        <v>1831</v>
      </c>
      <c r="E11" s="35" t="s">
        <v>1389</v>
      </c>
      <c r="F11" s="35" t="s">
        <v>541</v>
      </c>
      <c r="G11" s="17" t="s">
        <v>2617</v>
      </c>
      <c r="H11" s="13" t="s">
        <v>1833</v>
      </c>
      <c r="I11" s="35" t="s">
        <v>2862</v>
      </c>
    </row>
    <row r="12" spans="1:9" s="8" customFormat="1" ht="22.5" customHeight="1">
      <c r="A12" s="9">
        <f t="shared" si="0"/>
        <v>6</v>
      </c>
      <c r="B12" s="21" t="s">
        <v>477</v>
      </c>
      <c r="C12" s="22" t="s">
        <v>478</v>
      </c>
      <c r="D12" s="12">
        <v>39637</v>
      </c>
      <c r="E12" s="35" t="s">
        <v>787</v>
      </c>
      <c r="F12" s="35" t="s">
        <v>541</v>
      </c>
      <c r="G12" s="17" t="s">
        <v>801</v>
      </c>
      <c r="H12" s="13" t="s">
        <v>567</v>
      </c>
      <c r="I12" s="35" t="s">
        <v>2204</v>
      </c>
    </row>
    <row r="13" spans="1:9" s="8" customFormat="1" ht="22.5" customHeight="1">
      <c r="A13" s="9">
        <f t="shared" si="0"/>
        <v>7</v>
      </c>
      <c r="B13" s="21" t="s">
        <v>2259</v>
      </c>
      <c r="C13" s="22" t="s">
        <v>315</v>
      </c>
      <c r="D13" s="12" t="s">
        <v>2247</v>
      </c>
      <c r="E13" s="35" t="s">
        <v>629</v>
      </c>
      <c r="F13" s="35" t="s">
        <v>541</v>
      </c>
      <c r="G13" s="17" t="s">
        <v>2612</v>
      </c>
      <c r="H13" s="13" t="s">
        <v>2243</v>
      </c>
      <c r="I13" s="35" t="s">
        <v>2204</v>
      </c>
    </row>
    <row r="14" spans="1:9" s="8" customFormat="1" ht="22.5" customHeight="1">
      <c r="A14" s="9">
        <f t="shared" si="0"/>
        <v>8</v>
      </c>
      <c r="B14" s="21" t="s">
        <v>2538</v>
      </c>
      <c r="C14" s="22" t="s">
        <v>315</v>
      </c>
      <c r="D14" s="12" t="s">
        <v>2094</v>
      </c>
      <c r="E14" s="35" t="s">
        <v>2614</v>
      </c>
      <c r="F14" s="35" t="s">
        <v>553</v>
      </c>
      <c r="G14" s="17" t="s">
        <v>2615</v>
      </c>
      <c r="H14" s="13" t="s">
        <v>2531</v>
      </c>
      <c r="I14" s="36" t="s">
        <v>3487</v>
      </c>
    </row>
    <row r="15" spans="1:9" s="8" customFormat="1" ht="22.5" customHeight="1">
      <c r="A15" s="9">
        <f t="shared" si="0"/>
        <v>9</v>
      </c>
      <c r="B15" s="21" t="s">
        <v>1581</v>
      </c>
      <c r="C15" s="22" t="s">
        <v>1538</v>
      </c>
      <c r="D15" s="12" t="s">
        <v>1583</v>
      </c>
      <c r="E15" s="35" t="s">
        <v>2101</v>
      </c>
      <c r="F15" s="35" t="s">
        <v>544</v>
      </c>
      <c r="G15" s="17" t="s">
        <v>2634</v>
      </c>
      <c r="H15" s="172" t="s">
        <v>3282</v>
      </c>
      <c r="I15" s="35" t="s">
        <v>2204</v>
      </c>
    </row>
    <row r="16" spans="1:9" s="8" customFormat="1" ht="22.5" customHeight="1">
      <c r="A16" s="9">
        <f t="shared" si="0"/>
        <v>10</v>
      </c>
      <c r="B16" s="21" t="s">
        <v>1830</v>
      </c>
      <c r="C16" s="22" t="s">
        <v>96</v>
      </c>
      <c r="D16" s="12" t="s">
        <v>1832</v>
      </c>
      <c r="E16" s="35" t="s">
        <v>2726</v>
      </c>
      <c r="F16" s="35" t="s">
        <v>544</v>
      </c>
      <c r="G16" s="17" t="s">
        <v>2725</v>
      </c>
      <c r="H16" s="13" t="s">
        <v>1833</v>
      </c>
      <c r="I16" s="35" t="s">
        <v>2204</v>
      </c>
    </row>
    <row r="17" spans="1:11" s="8" customFormat="1" ht="22.5" customHeight="1">
      <c r="A17" s="9">
        <f t="shared" si="0"/>
        <v>11</v>
      </c>
      <c r="B17" s="21" t="s">
        <v>476</v>
      </c>
      <c r="C17" s="22" t="s">
        <v>19</v>
      </c>
      <c r="D17" s="12">
        <v>39300</v>
      </c>
      <c r="E17" s="35" t="s">
        <v>787</v>
      </c>
      <c r="F17" s="35" t="s">
        <v>541</v>
      </c>
      <c r="G17" s="17" t="s">
        <v>803</v>
      </c>
      <c r="H17" s="13"/>
      <c r="I17" s="35" t="s">
        <v>2204</v>
      </c>
      <c r="J17" s="8" t="str">
        <f>PROPER(B17)</f>
        <v xml:space="preserve">Nguyễn Hữu Hồng </v>
      </c>
      <c r="K17" s="8" t="str">
        <f>PROPER(C17)</f>
        <v>Phúc</v>
      </c>
    </row>
    <row r="18" spans="1:11" s="8" customFormat="1" ht="22.5" customHeight="1">
      <c r="A18" s="9">
        <f t="shared" si="0"/>
        <v>12</v>
      </c>
      <c r="B18" s="21" t="s">
        <v>1796</v>
      </c>
      <c r="C18" s="22" t="s">
        <v>1425</v>
      </c>
      <c r="D18" s="12">
        <v>39716</v>
      </c>
      <c r="E18" s="35"/>
      <c r="F18" s="35"/>
      <c r="G18" s="17"/>
      <c r="H18" s="13"/>
      <c r="I18" s="36" t="s">
        <v>2847</v>
      </c>
      <c r="J18" s="8" t="str">
        <f t="shared" ref="J18:K33" si="1">PROPER(B18)</f>
        <v>Đặng Thành</v>
      </c>
      <c r="K18" s="8" t="str">
        <f t="shared" si="1"/>
        <v>Sơn</v>
      </c>
    </row>
    <row r="19" spans="1:11" s="8" customFormat="1" ht="22.5" customHeight="1">
      <c r="A19" s="9">
        <f t="shared" si="0"/>
        <v>13</v>
      </c>
      <c r="B19" s="21" t="s">
        <v>1977</v>
      </c>
      <c r="C19" s="22" t="s">
        <v>399</v>
      </c>
      <c r="D19" s="12" t="s">
        <v>1657</v>
      </c>
      <c r="E19" s="35" t="s">
        <v>693</v>
      </c>
      <c r="F19" s="35" t="s">
        <v>556</v>
      </c>
      <c r="G19" s="17" t="s">
        <v>2620</v>
      </c>
      <c r="H19" s="13" t="s">
        <v>1955</v>
      </c>
      <c r="I19" s="35" t="s">
        <v>2204</v>
      </c>
      <c r="J19" s="8" t="str">
        <f t="shared" si="1"/>
        <v>Hoàng Ngọc</v>
      </c>
      <c r="K19" s="8" t="str">
        <f t="shared" si="1"/>
        <v>Thắng</v>
      </c>
    </row>
    <row r="20" spans="1:11" s="8" customFormat="1" ht="22.5" customHeight="1">
      <c r="A20" s="9">
        <f t="shared" si="0"/>
        <v>14</v>
      </c>
      <c r="B20" s="21" t="s">
        <v>1074</v>
      </c>
      <c r="C20" s="22" t="s">
        <v>47</v>
      </c>
      <c r="D20" s="12">
        <v>39649</v>
      </c>
      <c r="E20" s="35" t="s">
        <v>703</v>
      </c>
      <c r="F20" s="35" t="s">
        <v>541</v>
      </c>
      <c r="G20" s="17" t="s">
        <v>1438</v>
      </c>
      <c r="H20" s="17"/>
      <c r="I20" s="50" t="s">
        <v>2204</v>
      </c>
      <c r="J20" s="8" t="str">
        <f t="shared" si="1"/>
        <v>Huỳnh Công</v>
      </c>
      <c r="K20" s="8" t="str">
        <f t="shared" si="1"/>
        <v>Thịnh</v>
      </c>
    </row>
    <row r="21" spans="1:11" s="8" customFormat="1" ht="22.5" customHeight="1">
      <c r="A21" s="9">
        <f t="shared" si="0"/>
        <v>15</v>
      </c>
      <c r="B21" s="21" t="s">
        <v>2073</v>
      </c>
      <c r="C21" s="22" t="s">
        <v>2014</v>
      </c>
      <c r="D21" s="12" t="s">
        <v>1825</v>
      </c>
      <c r="E21" s="35" t="s">
        <v>2638</v>
      </c>
      <c r="F21" s="35" t="s">
        <v>2637</v>
      </c>
      <c r="G21" s="17" t="s">
        <v>2639</v>
      </c>
      <c r="H21" s="13" t="s">
        <v>2072</v>
      </c>
      <c r="I21" s="35" t="s">
        <v>2204</v>
      </c>
      <c r="J21" s="8" t="str">
        <f t="shared" si="1"/>
        <v>Thái Quang</v>
      </c>
      <c r="K21" s="8" t="str">
        <f t="shared" si="1"/>
        <v>Thọ</v>
      </c>
    </row>
    <row r="22" spans="1:11" s="8" customFormat="1" ht="22.5" customHeight="1">
      <c r="A22" s="9">
        <f t="shared" si="0"/>
        <v>16</v>
      </c>
      <c r="B22" s="21" t="s">
        <v>2119</v>
      </c>
      <c r="C22" s="22" t="s">
        <v>257</v>
      </c>
      <c r="D22" s="12" t="s">
        <v>2120</v>
      </c>
      <c r="E22" s="35" t="s">
        <v>592</v>
      </c>
      <c r="F22" s="35" t="s">
        <v>556</v>
      </c>
      <c r="G22" s="17">
        <v>326093440</v>
      </c>
      <c r="H22" s="13" t="s">
        <v>2106</v>
      </c>
      <c r="I22" s="35" t="s">
        <v>2215</v>
      </c>
      <c r="J22" s="8" t="str">
        <f t="shared" si="1"/>
        <v>Nguyễn Đỗ Anh</v>
      </c>
      <c r="K22" s="8" t="str">
        <f t="shared" si="1"/>
        <v>Thư</v>
      </c>
    </row>
    <row r="23" spans="1:11" s="8" customFormat="1" ht="22.5" customHeight="1">
      <c r="A23" s="9">
        <f t="shared" si="0"/>
        <v>17</v>
      </c>
      <c r="B23" s="21" t="s">
        <v>482</v>
      </c>
      <c r="C23" s="22" t="s">
        <v>327</v>
      </c>
      <c r="D23" s="12">
        <v>39392</v>
      </c>
      <c r="E23" s="12" t="s">
        <v>800</v>
      </c>
      <c r="F23" s="35" t="s">
        <v>541</v>
      </c>
      <c r="G23" s="17" t="s">
        <v>804</v>
      </c>
      <c r="H23" s="13" t="s">
        <v>578</v>
      </c>
      <c r="I23" s="35" t="s">
        <v>2204</v>
      </c>
      <c r="J23" s="8" t="str">
        <f t="shared" si="1"/>
        <v xml:space="preserve">Nguyễn Ngọc Bảo </v>
      </c>
      <c r="K23" s="8" t="str">
        <f t="shared" si="1"/>
        <v>Trân</v>
      </c>
    </row>
    <row r="24" spans="1:11" s="8" customFormat="1" ht="22.5" customHeight="1">
      <c r="A24" s="9">
        <f t="shared" si="0"/>
        <v>18</v>
      </c>
      <c r="B24" s="21" t="s">
        <v>1073</v>
      </c>
      <c r="C24" s="22" t="s">
        <v>224</v>
      </c>
      <c r="D24" s="12">
        <v>39660</v>
      </c>
      <c r="E24" s="35" t="s">
        <v>562</v>
      </c>
      <c r="F24" s="35" t="s">
        <v>541</v>
      </c>
      <c r="G24" s="17" t="s">
        <v>563</v>
      </c>
      <c r="H24" s="17"/>
      <c r="I24" s="50" t="s">
        <v>2204</v>
      </c>
      <c r="J24" s="8" t="str">
        <f t="shared" si="1"/>
        <v>Đỗ Văn Đức</v>
      </c>
      <c r="K24" s="8" t="str">
        <f t="shared" si="1"/>
        <v>Trí</v>
      </c>
    </row>
    <row r="25" spans="1:11" s="8" customFormat="1" ht="22.5" customHeight="1">
      <c r="A25" s="9">
        <f t="shared" si="0"/>
        <v>19</v>
      </c>
      <c r="B25" s="21" t="s">
        <v>2808</v>
      </c>
      <c r="C25" s="22" t="s">
        <v>2809</v>
      </c>
      <c r="D25" s="12">
        <v>39754</v>
      </c>
      <c r="E25" s="35" t="s">
        <v>2982</v>
      </c>
      <c r="F25" s="35" t="s">
        <v>541</v>
      </c>
      <c r="G25" s="17" t="s">
        <v>2983</v>
      </c>
      <c r="H25" s="13" t="s">
        <v>2806</v>
      </c>
      <c r="I25" s="35" t="s">
        <v>2204</v>
      </c>
      <c r="J25" s="8" t="str">
        <f t="shared" si="1"/>
        <v>Bnướch</v>
      </c>
      <c r="K25" s="8" t="str">
        <f t="shared" si="1"/>
        <v>Châng</v>
      </c>
    </row>
    <row r="26" spans="1:11" s="8" customFormat="1" ht="22.5" customHeight="1">
      <c r="A26" s="9">
        <f t="shared" si="0"/>
        <v>20</v>
      </c>
      <c r="B26" s="21" t="s">
        <v>2848</v>
      </c>
      <c r="C26" s="22" t="s">
        <v>64</v>
      </c>
      <c r="D26" s="12" t="s">
        <v>2851</v>
      </c>
      <c r="E26" s="35"/>
      <c r="F26" s="35"/>
      <c r="G26" s="17" t="s">
        <v>3085</v>
      </c>
      <c r="H26" s="13" t="s">
        <v>2844</v>
      </c>
      <c r="I26" s="35" t="s">
        <v>2204</v>
      </c>
      <c r="J26" s="8" t="str">
        <f t="shared" si="1"/>
        <v>Dương Ngọc</v>
      </c>
      <c r="K26" s="8" t="str">
        <f t="shared" si="1"/>
        <v>Quang</v>
      </c>
    </row>
    <row r="27" spans="1:11" s="8" customFormat="1" ht="22.5" customHeight="1">
      <c r="A27" s="9">
        <f t="shared" si="0"/>
        <v>21</v>
      </c>
      <c r="B27" s="21" t="s">
        <v>2849</v>
      </c>
      <c r="C27" s="22" t="s">
        <v>17</v>
      </c>
      <c r="D27" s="12" t="s">
        <v>1531</v>
      </c>
      <c r="E27" s="35" t="s">
        <v>2201</v>
      </c>
      <c r="F27" s="35" t="s">
        <v>565</v>
      </c>
      <c r="G27" s="17" t="s">
        <v>3088</v>
      </c>
      <c r="H27" s="13" t="s">
        <v>2844</v>
      </c>
      <c r="I27" s="35" t="s">
        <v>2204</v>
      </c>
      <c r="J27" s="8" t="str">
        <f t="shared" si="1"/>
        <v>Nguyễn Việt</v>
      </c>
      <c r="K27" s="8" t="str">
        <f t="shared" si="1"/>
        <v>Hoàng</v>
      </c>
    </row>
    <row r="28" spans="1:11" s="8" customFormat="1" ht="22.5" customHeight="1">
      <c r="A28" s="9">
        <f t="shared" si="0"/>
        <v>22</v>
      </c>
      <c r="B28" s="21" t="s">
        <v>2850</v>
      </c>
      <c r="C28" s="22" t="s">
        <v>298</v>
      </c>
      <c r="D28" s="12" t="s">
        <v>2852</v>
      </c>
      <c r="E28" s="35"/>
      <c r="F28" s="35"/>
      <c r="G28" s="17" t="s">
        <v>3089</v>
      </c>
      <c r="H28" s="13" t="s">
        <v>2844</v>
      </c>
      <c r="I28" s="35" t="s">
        <v>2204</v>
      </c>
      <c r="J28" s="8" t="str">
        <f t="shared" si="1"/>
        <v>Phạm Lê Kiều</v>
      </c>
      <c r="K28" s="8" t="str">
        <f t="shared" si="1"/>
        <v>Oanh</v>
      </c>
    </row>
    <row r="29" spans="1:11" s="8" customFormat="1" ht="22.5" customHeight="1">
      <c r="A29" s="9">
        <f t="shared" si="0"/>
        <v>23</v>
      </c>
      <c r="B29" s="21" t="s">
        <v>2951</v>
      </c>
      <c r="C29" s="22" t="s">
        <v>310</v>
      </c>
      <c r="D29" s="12">
        <v>39678</v>
      </c>
      <c r="E29" s="35" t="s">
        <v>2975</v>
      </c>
      <c r="F29" s="35" t="s">
        <v>541</v>
      </c>
      <c r="G29" s="17" t="s">
        <v>2976</v>
      </c>
      <c r="H29" s="13" t="s">
        <v>1955</v>
      </c>
      <c r="I29" s="35" t="s">
        <v>2204</v>
      </c>
      <c r="J29" s="8" t="str">
        <f t="shared" si="1"/>
        <v>Hồ Anh Thanh</v>
      </c>
      <c r="K29" s="8" t="str">
        <f t="shared" si="1"/>
        <v>Huyền</v>
      </c>
    </row>
    <row r="30" spans="1:11" s="8" customFormat="1" ht="22.5" customHeight="1">
      <c r="A30" s="9">
        <f t="shared" si="0"/>
        <v>24</v>
      </c>
      <c r="B30" s="21" t="s">
        <v>3075</v>
      </c>
      <c r="C30" s="22" t="s">
        <v>331</v>
      </c>
      <c r="D30" s="12" t="s">
        <v>1346</v>
      </c>
      <c r="E30" s="35"/>
      <c r="F30" s="35"/>
      <c r="G30" s="17"/>
      <c r="H30" s="13" t="s">
        <v>3130</v>
      </c>
      <c r="I30" s="35" t="s">
        <v>3162</v>
      </c>
      <c r="J30" s="8" t="str">
        <f t="shared" si="1"/>
        <v>Võ Thị Hoài</v>
      </c>
      <c r="K30" s="8" t="str">
        <f t="shared" si="1"/>
        <v>Ngọc</v>
      </c>
    </row>
    <row r="31" spans="1:11" s="8" customFormat="1" ht="22.5" customHeight="1">
      <c r="A31" s="9">
        <f t="shared" si="0"/>
        <v>25</v>
      </c>
      <c r="B31" s="21" t="s">
        <v>524</v>
      </c>
      <c r="C31" s="22" t="s">
        <v>307</v>
      </c>
      <c r="D31" s="279" t="s">
        <v>3352</v>
      </c>
      <c r="E31" s="35" t="s">
        <v>2229</v>
      </c>
      <c r="F31" s="35" t="s">
        <v>556</v>
      </c>
      <c r="G31" s="17" t="s">
        <v>3354</v>
      </c>
      <c r="H31" s="13" t="s">
        <v>3349</v>
      </c>
      <c r="I31" s="199" t="s">
        <v>2204</v>
      </c>
      <c r="J31" s="8" t="str">
        <f t="shared" si="1"/>
        <v>Nguyễn Đức</v>
      </c>
      <c r="K31" s="8" t="str">
        <f t="shared" si="1"/>
        <v>Hạnh</v>
      </c>
    </row>
    <row r="32" spans="1:11" s="8" customFormat="1" ht="22.5" customHeight="1">
      <c r="A32" s="9">
        <f t="shared" si="0"/>
        <v>26</v>
      </c>
      <c r="B32" s="21" t="s">
        <v>522</v>
      </c>
      <c r="C32" s="22" t="s">
        <v>27</v>
      </c>
      <c r="D32" s="280">
        <v>39585</v>
      </c>
      <c r="E32" s="35" t="s">
        <v>3375</v>
      </c>
      <c r="F32" s="35" t="s">
        <v>544</v>
      </c>
      <c r="G32" s="17" t="s">
        <v>3376</v>
      </c>
      <c r="H32" s="13" t="s">
        <v>3366</v>
      </c>
      <c r="I32" s="199" t="s">
        <v>3486</v>
      </c>
      <c r="J32" s="8" t="str">
        <f t="shared" si="1"/>
        <v>Nguyễn Thanh</v>
      </c>
      <c r="K32" s="8" t="str">
        <f t="shared" si="1"/>
        <v>Duy</v>
      </c>
    </row>
    <row r="33" spans="1:11" s="8" customFormat="1" ht="22.5" customHeight="1">
      <c r="A33" s="9">
        <f t="shared" si="0"/>
        <v>27</v>
      </c>
      <c r="B33" s="21" t="s">
        <v>522</v>
      </c>
      <c r="C33" s="22" t="s">
        <v>361</v>
      </c>
      <c r="D33" s="12" t="s">
        <v>1406</v>
      </c>
      <c r="E33" s="35" t="s">
        <v>1158</v>
      </c>
      <c r="F33" s="35" t="s">
        <v>541</v>
      </c>
      <c r="G33" s="17" t="s">
        <v>2616</v>
      </c>
      <c r="H33" s="13" t="s">
        <v>2243</v>
      </c>
      <c r="I33" s="35" t="s">
        <v>2204</v>
      </c>
      <c r="J33" s="8" t="str">
        <f t="shared" si="1"/>
        <v>Nguyễn Thanh</v>
      </c>
      <c r="K33" s="8" t="str">
        <f t="shared" si="1"/>
        <v>Danh</v>
      </c>
    </row>
    <row r="34" spans="1:11" s="8" customFormat="1" ht="22.5" customHeight="1">
      <c r="A34" s="9">
        <f t="shared" si="0"/>
        <v>28</v>
      </c>
      <c r="B34" s="21" t="s">
        <v>1333</v>
      </c>
      <c r="C34" s="22" t="s">
        <v>25</v>
      </c>
      <c r="D34" s="12" t="s">
        <v>1335</v>
      </c>
      <c r="E34" s="35" t="s">
        <v>995</v>
      </c>
      <c r="F34" s="35" t="s">
        <v>544</v>
      </c>
      <c r="G34" s="17" t="s">
        <v>2629</v>
      </c>
      <c r="H34" s="13"/>
      <c r="I34" s="35" t="s">
        <v>2204</v>
      </c>
      <c r="J34" s="8" t="str">
        <f t="shared" ref="J34:K48" si="2">PROPER(B34)</f>
        <v>Lê Hữu</v>
      </c>
      <c r="K34" s="8" t="str">
        <f t="shared" si="2"/>
        <v>Đạt</v>
      </c>
    </row>
    <row r="35" spans="1:11" s="8" customFormat="1" ht="22.5" customHeight="1">
      <c r="A35" s="9">
        <f t="shared" si="0"/>
        <v>29</v>
      </c>
      <c r="B35" s="21" t="s">
        <v>1582</v>
      </c>
      <c r="C35" s="281" t="s">
        <v>25</v>
      </c>
      <c r="D35" s="12" t="s">
        <v>1241</v>
      </c>
      <c r="E35" s="35" t="s">
        <v>749</v>
      </c>
      <c r="F35" s="35" t="s">
        <v>541</v>
      </c>
      <c r="G35" s="17" t="s">
        <v>2635</v>
      </c>
      <c r="H35" s="13" t="s">
        <v>1602</v>
      </c>
      <c r="I35" s="35" t="s">
        <v>2204</v>
      </c>
      <c r="J35" s="8" t="str">
        <f t="shared" si="2"/>
        <v>Nguyễn Ngọc Tuấn</v>
      </c>
      <c r="K35" s="8" t="str">
        <f t="shared" si="2"/>
        <v>Đạt</v>
      </c>
    </row>
    <row r="36" spans="1:11" s="8" customFormat="1" ht="22.5" customHeight="1">
      <c r="A36" s="9">
        <f t="shared" si="0"/>
        <v>30</v>
      </c>
      <c r="B36" s="21" t="s">
        <v>483</v>
      </c>
      <c r="C36" s="22" t="s">
        <v>484</v>
      </c>
      <c r="D36" s="12">
        <v>39766</v>
      </c>
      <c r="E36" s="35" t="s">
        <v>1027</v>
      </c>
      <c r="F36" s="35" t="s">
        <v>556</v>
      </c>
      <c r="G36" s="17" t="s">
        <v>1028</v>
      </c>
      <c r="H36" s="13"/>
      <c r="I36" s="35" t="s">
        <v>2204</v>
      </c>
      <c r="J36" s="8" t="str">
        <f t="shared" si="2"/>
        <v xml:space="preserve">Nguyễn Quang </v>
      </c>
      <c r="K36" s="8" t="str">
        <f t="shared" si="2"/>
        <v>Đông</v>
      </c>
    </row>
    <row r="37" spans="1:11" s="8" customFormat="1" ht="22.5" customHeight="1">
      <c r="A37" s="9">
        <f t="shared" si="0"/>
        <v>31</v>
      </c>
      <c r="B37" s="21" t="s">
        <v>1334</v>
      </c>
      <c r="C37" s="22" t="s">
        <v>66</v>
      </c>
      <c r="D37" s="12">
        <v>36669</v>
      </c>
      <c r="E37" s="35" t="s">
        <v>812</v>
      </c>
      <c r="F37" s="35" t="s">
        <v>541</v>
      </c>
      <c r="G37" s="17" t="s">
        <v>2630</v>
      </c>
      <c r="H37" s="13"/>
      <c r="I37" s="35" t="s">
        <v>2204</v>
      </c>
      <c r="J37" s="8" t="str">
        <f t="shared" si="2"/>
        <v>Phan Công</v>
      </c>
      <c r="K37" s="8" t="str">
        <f t="shared" si="2"/>
        <v>Đức</v>
      </c>
    </row>
    <row r="38" spans="1:11" s="8" customFormat="1" ht="22.5" customHeight="1">
      <c r="A38" s="9">
        <f t="shared" si="0"/>
        <v>32</v>
      </c>
      <c r="B38" s="21" t="s">
        <v>1474</v>
      </c>
      <c r="C38" s="22" t="s">
        <v>1112</v>
      </c>
      <c r="D38" s="12">
        <v>39768</v>
      </c>
      <c r="E38" s="35" t="s">
        <v>621</v>
      </c>
      <c r="F38" s="35" t="s">
        <v>544</v>
      </c>
      <c r="G38" s="17" t="s">
        <v>2633</v>
      </c>
      <c r="H38" s="13"/>
      <c r="I38" s="35" t="s">
        <v>2632</v>
      </c>
      <c r="J38" s="8" t="str">
        <f t="shared" si="2"/>
        <v>Lê Hải</v>
      </c>
      <c r="K38" s="8" t="str">
        <f t="shared" si="2"/>
        <v>Dương</v>
      </c>
    </row>
    <row r="39" spans="1:11" s="8" customFormat="1" ht="22.5" customHeight="1">
      <c r="A39" s="9">
        <f t="shared" si="0"/>
        <v>33</v>
      </c>
      <c r="B39" s="21" t="s">
        <v>1976</v>
      </c>
      <c r="C39" s="281" t="s">
        <v>17</v>
      </c>
      <c r="D39" s="12" t="s">
        <v>1978</v>
      </c>
      <c r="E39" s="35" t="s">
        <v>2232</v>
      </c>
      <c r="F39" s="35" t="s">
        <v>544</v>
      </c>
      <c r="G39" s="17" t="s">
        <v>2627</v>
      </c>
      <c r="H39" s="13" t="s">
        <v>1955</v>
      </c>
      <c r="I39" s="35" t="s">
        <v>2204</v>
      </c>
      <c r="J39" s="8" t="str">
        <f t="shared" si="2"/>
        <v>Phạm Nguyễn Vũ</v>
      </c>
      <c r="K39" s="8" t="str">
        <f t="shared" si="2"/>
        <v>Hoàng</v>
      </c>
    </row>
    <row r="40" spans="1:11" s="8" customFormat="1" ht="22.5" customHeight="1">
      <c r="A40" s="9">
        <f t="shared" si="0"/>
        <v>34</v>
      </c>
      <c r="B40" s="21" t="s">
        <v>479</v>
      </c>
      <c r="C40" s="22" t="s">
        <v>108</v>
      </c>
      <c r="D40" s="12">
        <v>39739</v>
      </c>
      <c r="E40" s="35" t="s">
        <v>848</v>
      </c>
      <c r="F40" s="35" t="s">
        <v>544</v>
      </c>
      <c r="G40" s="17" t="s">
        <v>1435</v>
      </c>
      <c r="H40" s="13"/>
      <c r="I40" s="35" t="s">
        <v>2204</v>
      </c>
      <c r="J40" s="8" t="str">
        <f t="shared" si="2"/>
        <v xml:space="preserve">Trần Hải </v>
      </c>
      <c r="K40" s="8" t="str">
        <f t="shared" si="2"/>
        <v>Kiên</v>
      </c>
    </row>
    <row r="41" spans="1:11" s="8" customFormat="1" ht="22.5" customHeight="1">
      <c r="A41" s="9">
        <f t="shared" si="0"/>
        <v>35</v>
      </c>
      <c r="B41" s="21" t="s">
        <v>480</v>
      </c>
      <c r="C41" s="22" t="s">
        <v>92</v>
      </c>
      <c r="D41" s="12">
        <v>39524</v>
      </c>
      <c r="E41" s="35" t="s">
        <v>592</v>
      </c>
      <c r="F41" s="35" t="s">
        <v>541</v>
      </c>
      <c r="G41" s="17" t="s">
        <v>802</v>
      </c>
      <c r="H41" s="13"/>
      <c r="I41" s="35" t="s">
        <v>2207</v>
      </c>
      <c r="J41" s="8" t="str">
        <f t="shared" si="2"/>
        <v xml:space="preserve">Lê Ngọc </v>
      </c>
      <c r="K41" s="8" t="str">
        <f t="shared" si="2"/>
        <v>Nhân</v>
      </c>
    </row>
    <row r="42" spans="1:11" s="8" customFormat="1" ht="22.5" customHeight="1">
      <c r="A42" s="9">
        <f t="shared" si="0"/>
        <v>36</v>
      </c>
      <c r="B42" s="21" t="s">
        <v>2074</v>
      </c>
      <c r="C42" s="22" t="s">
        <v>201</v>
      </c>
      <c r="D42" s="12" t="s">
        <v>2075</v>
      </c>
      <c r="E42" s="35" t="s">
        <v>885</v>
      </c>
      <c r="F42" s="35" t="s">
        <v>541</v>
      </c>
      <c r="G42" s="17" t="s">
        <v>2727</v>
      </c>
      <c r="H42" s="13" t="s">
        <v>2072</v>
      </c>
      <c r="I42" s="36" t="s">
        <v>2847</v>
      </c>
      <c r="J42" s="8" t="str">
        <f t="shared" si="2"/>
        <v>Lê Chỉ Duy</v>
      </c>
      <c r="K42" s="8" t="str">
        <f t="shared" si="2"/>
        <v>Quân</v>
      </c>
    </row>
    <row r="43" spans="1:11" s="8" customFormat="1" ht="22.5" customHeight="1">
      <c r="A43" s="9">
        <f t="shared" si="0"/>
        <v>37</v>
      </c>
      <c r="B43" s="21" t="s">
        <v>522</v>
      </c>
      <c r="C43" s="22" t="s">
        <v>399</v>
      </c>
      <c r="D43" s="12" t="s">
        <v>2076</v>
      </c>
      <c r="E43" s="35" t="s">
        <v>605</v>
      </c>
      <c r="F43" s="35" t="s">
        <v>541</v>
      </c>
      <c r="G43" s="17" t="s">
        <v>2626</v>
      </c>
      <c r="H43" s="13" t="s">
        <v>2072</v>
      </c>
      <c r="I43" s="35" t="s">
        <v>3488</v>
      </c>
      <c r="J43" s="8" t="str">
        <f t="shared" si="2"/>
        <v>Nguyễn Thanh</v>
      </c>
      <c r="K43" s="8" t="str">
        <f t="shared" si="2"/>
        <v>Thắng</v>
      </c>
    </row>
    <row r="44" spans="1:11" s="8" customFormat="1" ht="22.5" customHeight="1">
      <c r="A44" s="9">
        <f t="shared" si="0"/>
        <v>38</v>
      </c>
      <c r="B44" s="21" t="s">
        <v>1137</v>
      </c>
      <c r="C44" s="22" t="s">
        <v>312</v>
      </c>
      <c r="D44" s="12">
        <v>39536</v>
      </c>
      <c r="E44" s="35" t="s">
        <v>1436</v>
      </c>
      <c r="F44" s="35" t="s">
        <v>573</v>
      </c>
      <c r="G44" s="17" t="s">
        <v>1437</v>
      </c>
      <c r="H44" s="13"/>
      <c r="I44" s="35" t="s">
        <v>2204</v>
      </c>
      <c r="J44" s="8" t="str">
        <f t="shared" si="2"/>
        <v>Lê Bảo</v>
      </c>
      <c r="K44" s="8" t="str">
        <f t="shared" si="2"/>
        <v>Thi</v>
      </c>
    </row>
    <row r="45" spans="1:11" s="8" customFormat="1" ht="22.5" customHeight="1">
      <c r="A45" s="9">
        <f t="shared" si="0"/>
        <v>39</v>
      </c>
      <c r="B45" s="21" t="s">
        <v>1944</v>
      </c>
      <c r="C45" s="22" t="s">
        <v>130</v>
      </c>
      <c r="D45" s="12">
        <v>39480</v>
      </c>
      <c r="E45" s="35" t="s">
        <v>2623</v>
      </c>
      <c r="F45" s="35" t="s">
        <v>553</v>
      </c>
      <c r="G45" s="17" t="s">
        <v>2624</v>
      </c>
      <c r="H45" s="13" t="s">
        <v>1936</v>
      </c>
      <c r="I45" s="35" t="s">
        <v>2204</v>
      </c>
      <c r="J45" s="8" t="str">
        <f t="shared" si="2"/>
        <v>Văn Đình</v>
      </c>
      <c r="K45" s="8" t="str">
        <f t="shared" si="2"/>
        <v>Toàn</v>
      </c>
    </row>
    <row r="46" spans="1:11" s="8" customFormat="1" ht="22.5" customHeight="1">
      <c r="A46" s="9">
        <f t="shared" si="0"/>
        <v>40</v>
      </c>
      <c r="B46" s="21" t="s">
        <v>1765</v>
      </c>
      <c r="C46" s="22" t="s">
        <v>1766</v>
      </c>
      <c r="D46" s="12">
        <v>39674</v>
      </c>
      <c r="E46" s="35" t="s">
        <v>749</v>
      </c>
      <c r="F46" s="35" t="s">
        <v>541</v>
      </c>
      <c r="G46" s="17" t="s">
        <v>2619</v>
      </c>
      <c r="H46" s="13" t="s">
        <v>1767</v>
      </c>
      <c r="I46" s="35" t="s">
        <v>2204</v>
      </c>
      <c r="J46" s="8" t="str">
        <f t="shared" si="2"/>
        <v>Nguyễn Văn Thành</v>
      </c>
      <c r="K46" s="8" t="str">
        <f t="shared" si="2"/>
        <v>Võ</v>
      </c>
    </row>
    <row r="47" spans="1:11" s="8" customFormat="1" ht="22.5" customHeight="1">
      <c r="A47" s="9">
        <f t="shared" si="0"/>
        <v>41</v>
      </c>
      <c r="B47" s="21" t="s">
        <v>114</v>
      </c>
      <c r="C47" s="22" t="s">
        <v>111</v>
      </c>
      <c r="D47" s="12">
        <v>38737</v>
      </c>
      <c r="E47" s="35" t="s">
        <v>562</v>
      </c>
      <c r="F47" s="35" t="s">
        <v>541</v>
      </c>
      <c r="G47" s="17" t="s">
        <v>805</v>
      </c>
      <c r="H47" s="13"/>
      <c r="I47" s="35" t="s">
        <v>2204</v>
      </c>
      <c r="J47" s="8" t="str">
        <f t="shared" si="2"/>
        <v xml:space="preserve">Trương Văn </v>
      </c>
      <c r="K47" s="8" t="str">
        <f t="shared" si="2"/>
        <v>Vũ</v>
      </c>
    </row>
    <row r="48" spans="1:11" s="8" customFormat="1" ht="22.5" customHeight="1">
      <c r="A48" s="9">
        <f t="shared" si="0"/>
        <v>42</v>
      </c>
      <c r="B48" s="21" t="s">
        <v>515</v>
      </c>
      <c r="C48" s="22" t="s">
        <v>2766</v>
      </c>
      <c r="D48" s="12">
        <v>39783</v>
      </c>
      <c r="E48" s="35" t="s">
        <v>629</v>
      </c>
      <c r="F48" s="35" t="s">
        <v>541</v>
      </c>
      <c r="G48" s="17" t="s">
        <v>2984</v>
      </c>
      <c r="H48" s="13" t="s">
        <v>2759</v>
      </c>
      <c r="I48" s="35" t="s">
        <v>2204</v>
      </c>
      <c r="J48" s="8" t="str">
        <f t="shared" si="2"/>
        <v>Lê Minh</v>
      </c>
      <c r="K48" s="8" t="str">
        <f t="shared" si="2"/>
        <v>Huân</v>
      </c>
    </row>
    <row r="49" spans="1:11" s="8" customFormat="1" ht="22.5" customHeight="1">
      <c r="A49" s="9">
        <f t="shared" si="0"/>
        <v>43</v>
      </c>
      <c r="B49" s="21" t="s">
        <v>1133</v>
      </c>
      <c r="C49" s="22" t="s">
        <v>68</v>
      </c>
      <c r="D49" s="12">
        <v>39682</v>
      </c>
      <c r="E49" s="35" t="s">
        <v>547</v>
      </c>
      <c r="F49" s="35" t="s">
        <v>541</v>
      </c>
      <c r="G49" s="17" t="s">
        <v>2989</v>
      </c>
      <c r="H49" s="13" t="s">
        <v>2759</v>
      </c>
      <c r="I49" s="35" t="s">
        <v>2204</v>
      </c>
      <c r="J49" s="8" t="str">
        <f>PROPER(B49)</f>
        <v>Nguyễn Văn</v>
      </c>
      <c r="K49" s="8" t="str">
        <f>PROPER(C49)</f>
        <v>Trường</v>
      </c>
    </row>
    <row r="50" spans="1:11" s="8" customFormat="1" ht="22.5" customHeight="1">
      <c r="A50" s="9">
        <f t="shared" si="0"/>
        <v>44</v>
      </c>
      <c r="B50" s="21" t="s">
        <v>1541</v>
      </c>
      <c r="C50" s="22" t="s">
        <v>128</v>
      </c>
      <c r="D50" s="12" t="s">
        <v>2939</v>
      </c>
      <c r="E50" s="35" t="s">
        <v>3106</v>
      </c>
      <c r="F50" s="35" t="s">
        <v>731</v>
      </c>
      <c r="G50" s="17" t="s">
        <v>3107</v>
      </c>
      <c r="H50" s="13" t="s">
        <v>2841</v>
      </c>
      <c r="I50" s="35" t="s">
        <v>2220</v>
      </c>
      <c r="J50" s="8" t="str">
        <f t="shared" ref="J50:K55" si="3">PROPER(B50)</f>
        <v>Nguyễn Quang</v>
      </c>
      <c r="K50" s="8" t="str">
        <f t="shared" si="3"/>
        <v>Huy</v>
      </c>
    </row>
    <row r="51" spans="1:11" s="8" customFormat="1" ht="22.5" customHeight="1">
      <c r="A51" s="9">
        <f t="shared" si="0"/>
        <v>45</v>
      </c>
      <c r="B51" s="21" t="s">
        <v>2938</v>
      </c>
      <c r="C51" s="22" t="s">
        <v>111</v>
      </c>
      <c r="D51" s="12" t="s">
        <v>2940</v>
      </c>
      <c r="E51" s="35" t="s">
        <v>3108</v>
      </c>
      <c r="F51" s="35" t="s">
        <v>553</v>
      </c>
      <c r="G51" s="17" t="s">
        <v>3109</v>
      </c>
      <c r="H51" s="13" t="s">
        <v>2841</v>
      </c>
      <c r="I51" s="35" t="s">
        <v>2204</v>
      </c>
      <c r="J51" s="8" t="str">
        <f t="shared" si="3"/>
        <v>Trần Hữu Lê</v>
      </c>
      <c r="K51" s="8" t="str">
        <f t="shared" si="3"/>
        <v>Vũ</v>
      </c>
    </row>
    <row r="52" spans="1:11" s="8" customFormat="1" ht="22.5" customHeight="1">
      <c r="A52" s="9">
        <f t="shared" si="0"/>
        <v>46</v>
      </c>
      <c r="B52" s="21" t="s">
        <v>3034</v>
      </c>
      <c r="C52" s="22" t="s">
        <v>17</v>
      </c>
      <c r="D52" s="162" t="s">
        <v>3035</v>
      </c>
      <c r="E52" s="35"/>
      <c r="F52" s="35"/>
      <c r="G52" s="17" t="s">
        <v>3105</v>
      </c>
      <c r="H52" s="13" t="s">
        <v>3029</v>
      </c>
      <c r="I52" s="35" t="s">
        <v>3068</v>
      </c>
      <c r="J52" s="8" t="str">
        <f t="shared" si="3"/>
        <v xml:space="preserve">Chu Huy </v>
      </c>
      <c r="K52" s="8" t="str">
        <f t="shared" si="3"/>
        <v>Hoàng</v>
      </c>
    </row>
    <row r="53" spans="1:11" s="8" customFormat="1" ht="22.5" customHeight="1">
      <c r="A53" s="9">
        <f t="shared" si="0"/>
        <v>47</v>
      </c>
      <c r="B53" s="21" t="s">
        <v>3217</v>
      </c>
      <c r="C53" s="281" t="s">
        <v>3218</v>
      </c>
      <c r="D53" s="162" t="s">
        <v>1349</v>
      </c>
      <c r="E53" s="35"/>
      <c r="F53" s="35"/>
      <c r="G53" s="17" t="s">
        <v>3281</v>
      </c>
      <c r="H53" s="13" t="s">
        <v>3219</v>
      </c>
      <c r="I53" s="35" t="s">
        <v>2204</v>
      </c>
      <c r="J53" s="8" t="str">
        <f t="shared" si="3"/>
        <v>Đinh</v>
      </c>
      <c r="K53" s="8" t="str">
        <f t="shared" si="3"/>
        <v xml:space="preserve">Huy </v>
      </c>
    </row>
    <row r="54" spans="1:11" s="8" customFormat="1" ht="22.5" customHeight="1">
      <c r="A54" s="9">
        <f t="shared" si="0"/>
        <v>48</v>
      </c>
      <c r="B54" s="21" t="s">
        <v>3274</v>
      </c>
      <c r="C54" s="22" t="s">
        <v>294</v>
      </c>
      <c r="D54" s="278" t="s">
        <v>3275</v>
      </c>
      <c r="E54" s="35"/>
      <c r="F54" s="35"/>
      <c r="G54" s="17"/>
      <c r="H54" s="13" t="s">
        <v>3272</v>
      </c>
      <c r="I54" s="283" t="s">
        <v>2847</v>
      </c>
      <c r="J54" s="8" t="str">
        <f t="shared" si="3"/>
        <v>Lê Hoàng Việt</v>
      </c>
      <c r="K54" s="8" t="str">
        <f t="shared" si="3"/>
        <v>Linh</v>
      </c>
    </row>
    <row r="55" spans="1:11" s="8" customFormat="1" ht="22.5" customHeight="1">
      <c r="A55" s="9">
        <f t="shared" si="0"/>
        <v>49</v>
      </c>
      <c r="B55" s="21" t="s">
        <v>3351</v>
      </c>
      <c r="C55" s="22" t="s">
        <v>1278</v>
      </c>
      <c r="D55" s="162" t="s">
        <v>3353</v>
      </c>
      <c r="E55" s="35" t="s">
        <v>733</v>
      </c>
      <c r="F55" s="35" t="s">
        <v>731</v>
      </c>
      <c r="G55" s="17" t="s">
        <v>3405</v>
      </c>
      <c r="H55" s="13" t="s">
        <v>3349</v>
      </c>
      <c r="I55" s="35" t="s">
        <v>2204</v>
      </c>
      <c r="J55" s="8" t="str">
        <f t="shared" si="3"/>
        <v>Hồ Bá</v>
      </c>
      <c r="K55" s="8" t="str">
        <f t="shared" si="3"/>
        <v>Tuấn</v>
      </c>
    </row>
    <row r="56" spans="1:11" s="8" customFormat="1" ht="22.5" customHeight="1">
      <c r="A56" s="9">
        <f t="shared" si="0"/>
        <v>50</v>
      </c>
      <c r="B56" s="21" t="s">
        <v>1401</v>
      </c>
      <c r="C56" s="22" t="s">
        <v>3384</v>
      </c>
      <c r="D56" s="162" t="s">
        <v>3386</v>
      </c>
      <c r="E56" s="35" t="s">
        <v>3411</v>
      </c>
      <c r="F56" s="35" t="s">
        <v>544</v>
      </c>
      <c r="G56" s="17" t="s">
        <v>3412</v>
      </c>
      <c r="H56" s="13" t="s">
        <v>3387</v>
      </c>
      <c r="I56" s="35" t="s">
        <v>2204</v>
      </c>
      <c r="J56" s="8" t="str">
        <f t="shared" ref="J56:J59" si="4">PROPER(B56)</f>
        <v>Đinh Văn</v>
      </c>
      <c r="K56" s="8" t="str">
        <f t="shared" ref="K56:K59" si="5">PROPER(C56)</f>
        <v>Nghiêng</v>
      </c>
    </row>
    <row r="57" spans="1:11" s="8" customFormat="1" ht="22.5" customHeight="1">
      <c r="A57" s="9">
        <f t="shared" si="0"/>
        <v>51</v>
      </c>
      <c r="B57" s="21" t="s">
        <v>3385</v>
      </c>
      <c r="C57" s="22" t="s">
        <v>128</v>
      </c>
      <c r="D57" s="162" t="s">
        <v>3040</v>
      </c>
      <c r="E57" s="35" t="s">
        <v>3414</v>
      </c>
      <c r="F57" s="35" t="s">
        <v>556</v>
      </c>
      <c r="G57" s="17" t="s">
        <v>3415</v>
      </c>
      <c r="H57" s="13" t="s">
        <v>3387</v>
      </c>
      <c r="I57" s="35" t="s">
        <v>2204</v>
      </c>
      <c r="J57" s="8" t="str">
        <f t="shared" si="4"/>
        <v>Trần Đinh Nhật</v>
      </c>
      <c r="K57" s="8" t="str">
        <f t="shared" si="5"/>
        <v>Huy</v>
      </c>
    </row>
    <row r="58" spans="1:11" s="8" customFormat="1" ht="22.5" customHeight="1">
      <c r="A58" s="9">
        <f t="shared" si="0"/>
        <v>52</v>
      </c>
      <c r="B58" s="21" t="s">
        <v>3441</v>
      </c>
      <c r="C58" s="22" t="s">
        <v>151</v>
      </c>
      <c r="D58" s="162">
        <v>39236</v>
      </c>
      <c r="E58" s="35"/>
      <c r="F58" s="35"/>
      <c r="G58" s="17"/>
      <c r="H58" s="13" t="s">
        <v>3435</v>
      </c>
      <c r="I58" s="35" t="s">
        <v>2204</v>
      </c>
      <c r="J58" s="8" t="str">
        <f t="shared" si="4"/>
        <v xml:space="preserve">Trịnh Duy </v>
      </c>
      <c r="K58" s="8" t="str">
        <f t="shared" si="5"/>
        <v>Tiến</v>
      </c>
    </row>
    <row r="59" spans="1:11" s="8" customFormat="1" ht="22.5" customHeight="1">
      <c r="A59" s="9">
        <f t="shared" si="0"/>
        <v>53</v>
      </c>
      <c r="B59" s="21" t="s">
        <v>515</v>
      </c>
      <c r="C59" s="22" t="s">
        <v>58</v>
      </c>
      <c r="D59" s="162">
        <v>39383</v>
      </c>
      <c r="E59" s="35"/>
      <c r="F59" s="35"/>
      <c r="G59" s="17"/>
      <c r="H59" s="13" t="s">
        <v>3490</v>
      </c>
      <c r="I59" s="35" t="s">
        <v>3500</v>
      </c>
      <c r="J59" s="8" t="str">
        <f t="shared" si="4"/>
        <v>Lê Minh</v>
      </c>
      <c r="K59" s="8" t="str">
        <f t="shared" si="5"/>
        <v>Khang</v>
      </c>
    </row>
    <row r="60" spans="1:11" s="8" customFormat="1" ht="22.5" customHeight="1">
      <c r="A60" s="9">
        <f t="shared" si="0"/>
        <v>54</v>
      </c>
      <c r="B60" s="285" t="s">
        <v>1209</v>
      </c>
      <c r="C60" s="281" t="s">
        <v>42</v>
      </c>
      <c r="D60" s="286" t="s">
        <v>3528</v>
      </c>
      <c r="E60" s="36"/>
      <c r="F60" s="36"/>
      <c r="G60" s="287"/>
      <c r="H60" s="33" t="s">
        <v>3527</v>
      </c>
      <c r="I60" s="283" t="s">
        <v>2847</v>
      </c>
      <c r="J60" s="8" t="str">
        <f t="shared" ref="J60:J63" si="6">PROPER(B60)</f>
        <v>Nguyễn Thành</v>
      </c>
      <c r="K60" s="8" t="str">
        <f t="shared" ref="K60:K63" si="7">PROPER(C60)</f>
        <v>Hiếu</v>
      </c>
    </row>
    <row r="61" spans="1:11" s="8" customFormat="1" ht="22.5" customHeight="1">
      <c r="A61" s="9">
        <f t="shared" si="0"/>
        <v>55</v>
      </c>
      <c r="B61" s="21" t="s">
        <v>3532</v>
      </c>
      <c r="C61" s="22" t="s">
        <v>135</v>
      </c>
      <c r="D61" s="291" t="s">
        <v>3529</v>
      </c>
      <c r="E61" s="35"/>
      <c r="F61" s="35"/>
      <c r="G61" s="17"/>
      <c r="H61" s="13" t="s">
        <v>3527</v>
      </c>
      <c r="I61" s="283" t="s">
        <v>2847</v>
      </c>
      <c r="J61" s="8" t="str">
        <f t="shared" si="6"/>
        <v>Võ Quốc</v>
      </c>
      <c r="K61" s="8" t="str">
        <f t="shared" si="7"/>
        <v>Tình</v>
      </c>
    </row>
    <row r="62" spans="1:11" s="8" customFormat="1" ht="22.5" customHeight="1">
      <c r="A62" s="9">
        <f t="shared" si="0"/>
        <v>56</v>
      </c>
      <c r="B62" s="21" t="s">
        <v>1467</v>
      </c>
      <c r="C62" s="22" t="s">
        <v>55</v>
      </c>
      <c r="D62" s="291" t="s">
        <v>3530</v>
      </c>
      <c r="E62" s="35"/>
      <c r="F62" s="35"/>
      <c r="G62" s="17"/>
      <c r="H62" s="13" t="s">
        <v>3527</v>
      </c>
      <c r="I62" s="283" t="s">
        <v>2847</v>
      </c>
      <c r="J62" s="8" t="str">
        <f t="shared" si="6"/>
        <v>Trần Quốc</v>
      </c>
      <c r="K62" s="8" t="str">
        <f t="shared" si="7"/>
        <v>Bảo</v>
      </c>
    </row>
    <row r="63" spans="1:11" s="8" customFormat="1" ht="22.5" customHeight="1">
      <c r="A63" s="9">
        <f t="shared" si="0"/>
        <v>57</v>
      </c>
      <c r="B63" s="21" t="s">
        <v>1125</v>
      </c>
      <c r="C63" s="22" t="s">
        <v>70</v>
      </c>
      <c r="D63" s="291" t="s">
        <v>3531</v>
      </c>
      <c r="E63" s="35"/>
      <c r="F63" s="35"/>
      <c r="G63" s="17"/>
      <c r="H63" s="13" t="s">
        <v>3527</v>
      </c>
      <c r="I63" s="283" t="s">
        <v>2847</v>
      </c>
      <c r="J63" s="8" t="str">
        <f t="shared" si="6"/>
        <v>Nguyễn Hoàng</v>
      </c>
      <c r="K63" s="8" t="str">
        <f t="shared" si="7"/>
        <v>Anh</v>
      </c>
    </row>
  </sheetData>
  <mergeCells count="8">
    <mergeCell ref="B6:C6"/>
    <mergeCell ref="E6:F6"/>
    <mergeCell ref="A1:D1"/>
    <mergeCell ref="E1:H1"/>
    <mergeCell ref="A2:D2"/>
    <mergeCell ref="E2:H2"/>
    <mergeCell ref="A4:H4"/>
    <mergeCell ref="A5:H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topLeftCell="A32" workbookViewId="0">
      <selection activeCell="I41" sqref="I41:I42"/>
    </sheetView>
  </sheetViews>
  <sheetFormatPr defaultRowHeight="15"/>
  <cols>
    <col min="1" max="1" width="5.28515625" style="1" customWidth="1"/>
    <col min="2" max="2" width="20.140625" style="1" customWidth="1"/>
    <col min="3" max="3" width="8.28515625" style="1" customWidth="1"/>
    <col min="4" max="4" width="9.85546875" style="1" customWidth="1"/>
    <col min="5" max="5" width="16.85546875" style="1" customWidth="1"/>
    <col min="6" max="6" width="15.7109375" style="1" customWidth="1"/>
    <col min="7" max="7" width="13" style="1" customWidth="1"/>
    <col min="8" max="8" width="21.42578125" style="1" customWidth="1"/>
    <col min="9" max="9" width="31.28515625" style="156" customWidth="1"/>
    <col min="10" max="10" width="18.5703125" style="42" customWidth="1"/>
    <col min="11" max="16384" width="9.140625" style="1"/>
  </cols>
  <sheetData>
    <row r="1" spans="1:11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  <c r="I1" s="166"/>
    </row>
    <row r="2" spans="1:11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  <c r="I2" s="166"/>
    </row>
    <row r="3" spans="1:11" ht="15.75" customHeight="1">
      <c r="A3" s="2"/>
      <c r="B3" s="3"/>
      <c r="C3" s="3"/>
      <c r="D3" s="3"/>
    </row>
    <row r="4" spans="1:11" ht="15.75" customHeight="1">
      <c r="A4" s="308" t="s">
        <v>10</v>
      </c>
      <c r="B4" s="308"/>
      <c r="C4" s="308"/>
      <c r="D4" s="308"/>
      <c r="E4" s="308"/>
      <c r="F4" s="308"/>
      <c r="G4" s="308"/>
      <c r="H4" s="308"/>
      <c r="I4" s="167"/>
    </row>
    <row r="5" spans="1:11" s="4" customFormat="1" ht="23.25" customHeight="1">
      <c r="A5" s="309" t="s">
        <v>1300</v>
      </c>
      <c r="B5" s="309"/>
      <c r="C5" s="309"/>
      <c r="D5" s="309"/>
      <c r="E5" s="309"/>
      <c r="F5" s="309"/>
      <c r="G5" s="309"/>
      <c r="H5" s="309"/>
      <c r="I5" s="168"/>
      <c r="J5" s="47"/>
    </row>
    <row r="6" spans="1:11" s="8" customFormat="1" ht="45.75" customHeight="1">
      <c r="A6" s="5" t="s">
        <v>4</v>
      </c>
      <c r="B6" s="302" t="s">
        <v>5</v>
      </c>
      <c r="C6" s="303"/>
      <c r="D6" s="6" t="s">
        <v>6</v>
      </c>
      <c r="E6" s="304" t="s">
        <v>11</v>
      </c>
      <c r="F6" s="305"/>
      <c r="G6" s="20" t="s">
        <v>1359</v>
      </c>
      <c r="H6" s="20" t="s">
        <v>186</v>
      </c>
      <c r="I6" s="6" t="s">
        <v>2219</v>
      </c>
      <c r="J6" s="48"/>
    </row>
    <row r="7" spans="1:11" s="8" customFormat="1" ht="19.5" customHeight="1">
      <c r="A7" s="9">
        <f>ROW()-6</f>
        <v>1</v>
      </c>
      <c r="B7" s="21" t="s">
        <v>304</v>
      </c>
      <c r="C7" s="22" t="s">
        <v>94</v>
      </c>
      <c r="D7" s="12">
        <v>39686</v>
      </c>
      <c r="E7" s="35" t="s">
        <v>856</v>
      </c>
      <c r="F7" s="35" t="s">
        <v>553</v>
      </c>
      <c r="G7" s="17" t="s">
        <v>857</v>
      </c>
      <c r="H7" s="13" t="s">
        <v>1466</v>
      </c>
      <c r="I7" s="35" t="s">
        <v>2204</v>
      </c>
      <c r="J7" s="48">
        <v>2</v>
      </c>
    </row>
    <row r="8" spans="1:11" s="8" customFormat="1" ht="19.5" customHeight="1">
      <c r="A8" s="9">
        <f t="shared" ref="A8:A47" si="0">ROW()-6</f>
        <v>2</v>
      </c>
      <c r="B8" s="21" t="s">
        <v>266</v>
      </c>
      <c r="C8" s="22" t="s">
        <v>70</v>
      </c>
      <c r="D8" s="12">
        <v>39504</v>
      </c>
      <c r="E8" s="35" t="s">
        <v>917</v>
      </c>
      <c r="F8" s="35" t="s">
        <v>544</v>
      </c>
      <c r="G8" s="17" t="s">
        <v>1384</v>
      </c>
      <c r="H8" s="13"/>
      <c r="I8" s="35" t="s">
        <v>2204</v>
      </c>
      <c r="J8" s="48">
        <v>1</v>
      </c>
    </row>
    <row r="9" spans="1:11" s="8" customFormat="1" ht="19.5" customHeight="1">
      <c r="A9" s="9">
        <f t="shared" si="0"/>
        <v>3</v>
      </c>
      <c r="B9" s="21" t="s">
        <v>319</v>
      </c>
      <c r="C9" s="22" t="s">
        <v>36</v>
      </c>
      <c r="D9" s="12">
        <v>39466</v>
      </c>
      <c r="E9" s="12" t="s">
        <v>582</v>
      </c>
      <c r="F9" s="35" t="s">
        <v>541</v>
      </c>
      <c r="G9" s="17" t="s">
        <v>1385</v>
      </c>
      <c r="H9" s="13"/>
      <c r="I9" s="35" t="s">
        <v>2204</v>
      </c>
      <c r="J9" s="48">
        <v>1</v>
      </c>
    </row>
    <row r="10" spans="1:11" s="8" customFormat="1" ht="19.5" customHeight="1">
      <c r="A10" s="9">
        <f t="shared" si="0"/>
        <v>4</v>
      </c>
      <c r="B10" s="21" t="s">
        <v>323</v>
      </c>
      <c r="C10" s="22" t="s">
        <v>324</v>
      </c>
      <c r="D10" s="12">
        <v>39543</v>
      </c>
      <c r="E10" s="35" t="s">
        <v>948</v>
      </c>
      <c r="F10" s="35" t="s">
        <v>541</v>
      </c>
      <c r="G10" s="17" t="s">
        <v>859</v>
      </c>
      <c r="H10" s="13" t="s">
        <v>1466</v>
      </c>
      <c r="I10" s="35" t="s">
        <v>2204</v>
      </c>
      <c r="J10" s="48">
        <v>1</v>
      </c>
    </row>
    <row r="11" spans="1:11" s="8" customFormat="1" ht="19.5" customHeight="1">
      <c r="A11" s="9">
        <f t="shared" si="0"/>
        <v>5</v>
      </c>
      <c r="B11" s="21" t="s">
        <v>1091</v>
      </c>
      <c r="C11" s="22" t="s">
        <v>390</v>
      </c>
      <c r="D11" s="12">
        <v>35333</v>
      </c>
      <c r="E11" s="35" t="s">
        <v>714</v>
      </c>
      <c r="F11" s="35" t="s">
        <v>541</v>
      </c>
      <c r="G11" s="17" t="s">
        <v>1183</v>
      </c>
      <c r="H11" s="17"/>
      <c r="I11" s="50" t="s">
        <v>2204</v>
      </c>
      <c r="J11" s="48">
        <v>1</v>
      </c>
    </row>
    <row r="12" spans="1:11" s="8" customFormat="1" ht="19.5" customHeight="1">
      <c r="A12" s="9">
        <f t="shared" si="0"/>
        <v>6</v>
      </c>
      <c r="B12" s="21" t="s">
        <v>313</v>
      </c>
      <c r="C12" s="22" t="s">
        <v>300</v>
      </c>
      <c r="D12" s="12">
        <v>39694</v>
      </c>
      <c r="E12" s="35" t="s">
        <v>1177</v>
      </c>
      <c r="F12" s="35" t="s">
        <v>553</v>
      </c>
      <c r="G12" s="17" t="s">
        <v>1178</v>
      </c>
      <c r="H12" s="13"/>
      <c r="I12" s="35" t="s">
        <v>2204</v>
      </c>
      <c r="J12" s="48">
        <v>1</v>
      </c>
    </row>
    <row r="13" spans="1:11" s="8" customFormat="1" ht="19.5" customHeight="1">
      <c r="A13" s="9">
        <f t="shared" si="0"/>
        <v>7</v>
      </c>
      <c r="B13" s="21" t="s">
        <v>1292</v>
      </c>
      <c r="C13" s="22" t="s">
        <v>300</v>
      </c>
      <c r="D13" s="12" t="s">
        <v>1338</v>
      </c>
      <c r="E13" s="35" t="s">
        <v>1381</v>
      </c>
      <c r="F13" s="35" t="s">
        <v>544</v>
      </c>
      <c r="G13" s="17" t="s">
        <v>1382</v>
      </c>
      <c r="H13" s="13" t="s">
        <v>567</v>
      </c>
      <c r="I13" s="35" t="s">
        <v>2204</v>
      </c>
      <c r="J13" s="48">
        <v>3</v>
      </c>
      <c r="K13" s="8" t="str">
        <f>PROPER(C13)</f>
        <v>Duyên</v>
      </c>
    </row>
    <row r="14" spans="1:11" s="8" customFormat="1" ht="19.5" customHeight="1">
      <c r="A14" s="9">
        <f t="shared" si="0"/>
        <v>8</v>
      </c>
      <c r="B14" s="21" t="s">
        <v>409</v>
      </c>
      <c r="C14" s="22" t="s">
        <v>300</v>
      </c>
      <c r="D14" s="12">
        <v>39711</v>
      </c>
      <c r="E14" s="35" t="s">
        <v>579</v>
      </c>
      <c r="F14" s="35" t="s">
        <v>541</v>
      </c>
      <c r="G14" s="17" t="s">
        <v>1515</v>
      </c>
      <c r="H14" s="13" t="s">
        <v>1516</v>
      </c>
      <c r="I14" s="35" t="s">
        <v>2204</v>
      </c>
      <c r="J14" s="48">
        <v>2</v>
      </c>
    </row>
    <row r="15" spans="1:11" s="8" customFormat="1" ht="19.5" customHeight="1">
      <c r="A15" s="9">
        <f t="shared" si="0"/>
        <v>9</v>
      </c>
      <c r="B15" s="21" t="s">
        <v>1250</v>
      </c>
      <c r="C15" s="22" t="s">
        <v>359</v>
      </c>
      <c r="D15" s="12">
        <v>39788</v>
      </c>
      <c r="E15" s="35" t="s">
        <v>972</v>
      </c>
      <c r="F15" s="35" t="s">
        <v>573</v>
      </c>
      <c r="G15" s="17" t="s">
        <v>2868</v>
      </c>
      <c r="H15" s="13"/>
      <c r="I15" s="35" t="s">
        <v>2477</v>
      </c>
      <c r="J15" s="48">
        <v>1</v>
      </c>
    </row>
    <row r="16" spans="1:11" s="8" customFormat="1" ht="19.5" customHeight="1">
      <c r="A16" s="9">
        <f t="shared" si="0"/>
        <v>10</v>
      </c>
      <c r="B16" s="21" t="s">
        <v>282</v>
      </c>
      <c r="C16" s="22" t="s">
        <v>283</v>
      </c>
      <c r="D16" s="12">
        <v>39693</v>
      </c>
      <c r="E16" s="35" t="s">
        <v>873</v>
      </c>
      <c r="F16" s="35" t="s">
        <v>544</v>
      </c>
      <c r="G16" s="17" t="s">
        <v>872</v>
      </c>
      <c r="H16" s="13"/>
      <c r="I16" s="35" t="s">
        <v>2204</v>
      </c>
      <c r="J16" s="48">
        <v>1</v>
      </c>
    </row>
    <row r="17" spans="1:11" s="8" customFormat="1" ht="19.5" customHeight="1">
      <c r="A17" s="9">
        <f t="shared" si="0"/>
        <v>11</v>
      </c>
      <c r="B17" s="21" t="s">
        <v>1480</v>
      </c>
      <c r="C17" s="22" t="s">
        <v>413</v>
      </c>
      <c r="D17" s="12" t="s">
        <v>1483</v>
      </c>
      <c r="E17" s="35" t="s">
        <v>540</v>
      </c>
      <c r="F17" s="35" t="s">
        <v>541</v>
      </c>
      <c r="G17" s="17" t="s">
        <v>1606</v>
      </c>
      <c r="H17" s="13" t="s">
        <v>1607</v>
      </c>
      <c r="I17" s="35" t="s">
        <v>3484</v>
      </c>
      <c r="J17" s="48">
        <v>1</v>
      </c>
    </row>
    <row r="18" spans="1:11" s="8" customFormat="1" ht="19.5" customHeight="1">
      <c r="A18" s="9">
        <f t="shared" si="0"/>
        <v>12</v>
      </c>
      <c r="B18" s="21" t="s">
        <v>539</v>
      </c>
      <c r="C18" s="22" t="s">
        <v>310</v>
      </c>
      <c r="D18" s="12">
        <v>39764</v>
      </c>
      <c r="E18" s="35" t="s">
        <v>869</v>
      </c>
      <c r="F18" s="35" t="s">
        <v>541</v>
      </c>
      <c r="G18" s="17" t="s">
        <v>867</v>
      </c>
      <c r="H18" s="17"/>
      <c r="I18" s="50" t="s">
        <v>2215</v>
      </c>
      <c r="J18" s="48">
        <v>3</v>
      </c>
      <c r="K18" s="8" t="str">
        <f>PROPER(C18)</f>
        <v>Huyền</v>
      </c>
    </row>
    <row r="19" spans="1:11" s="8" customFormat="1" ht="19.5" customHeight="1">
      <c r="A19" s="9">
        <f t="shared" si="0"/>
        <v>13</v>
      </c>
      <c r="B19" s="21" t="s">
        <v>309</v>
      </c>
      <c r="C19" s="22" t="s">
        <v>310</v>
      </c>
      <c r="D19" s="12">
        <v>39687</v>
      </c>
      <c r="E19" s="35" t="s">
        <v>875</v>
      </c>
      <c r="F19" s="35" t="s">
        <v>573</v>
      </c>
      <c r="G19" s="17" t="s">
        <v>876</v>
      </c>
      <c r="H19" s="13" t="s">
        <v>1466</v>
      </c>
      <c r="I19" s="35" t="s">
        <v>2204</v>
      </c>
      <c r="J19" s="48">
        <v>1</v>
      </c>
    </row>
    <row r="20" spans="1:11" s="8" customFormat="1" ht="19.5" customHeight="1">
      <c r="A20" s="9">
        <f t="shared" si="0"/>
        <v>14</v>
      </c>
      <c r="B20" s="21" t="s">
        <v>1243</v>
      </c>
      <c r="C20" s="22" t="s">
        <v>401</v>
      </c>
      <c r="D20" s="12">
        <v>37481</v>
      </c>
      <c r="E20" s="35" t="s">
        <v>1389</v>
      </c>
      <c r="F20" s="35" t="s">
        <v>541</v>
      </c>
      <c r="G20" s="17" t="s">
        <v>2906</v>
      </c>
      <c r="H20" s="13"/>
      <c r="I20" s="35" t="s">
        <v>3483</v>
      </c>
      <c r="J20" s="48">
        <v>3</v>
      </c>
    </row>
    <row r="21" spans="1:11" s="8" customFormat="1" ht="19.5" customHeight="1">
      <c r="A21" s="9">
        <f t="shared" si="0"/>
        <v>15</v>
      </c>
      <c r="B21" s="21" t="s">
        <v>365</v>
      </c>
      <c r="C21" s="22" t="s">
        <v>366</v>
      </c>
      <c r="D21" s="12">
        <v>38121</v>
      </c>
      <c r="E21" s="35" t="s">
        <v>714</v>
      </c>
      <c r="F21" s="35" t="s">
        <v>541</v>
      </c>
      <c r="G21" s="17" t="s">
        <v>878</v>
      </c>
      <c r="H21" s="13"/>
      <c r="I21" s="35" t="s">
        <v>3469</v>
      </c>
      <c r="J21" s="48">
        <v>1</v>
      </c>
    </row>
    <row r="22" spans="1:11" s="8" customFormat="1" ht="19.5" customHeight="1">
      <c r="A22" s="9">
        <f t="shared" si="0"/>
        <v>16</v>
      </c>
      <c r="B22" s="21" t="s">
        <v>309</v>
      </c>
      <c r="C22" s="22" t="s">
        <v>340</v>
      </c>
      <c r="D22" s="12">
        <v>39721</v>
      </c>
      <c r="E22" s="35" t="s">
        <v>887</v>
      </c>
      <c r="F22" s="35" t="s">
        <v>544</v>
      </c>
      <c r="G22" s="17" t="s">
        <v>881</v>
      </c>
      <c r="H22" s="13"/>
      <c r="I22" s="35" t="s">
        <v>2204</v>
      </c>
      <c r="J22" s="48">
        <v>1</v>
      </c>
    </row>
    <row r="23" spans="1:11" s="8" customFormat="1" ht="19.5" customHeight="1">
      <c r="A23" s="9">
        <f t="shared" si="0"/>
        <v>17</v>
      </c>
      <c r="B23" s="21" t="s">
        <v>1336</v>
      </c>
      <c r="C23" s="22" t="s">
        <v>275</v>
      </c>
      <c r="D23" s="12" t="s">
        <v>1339</v>
      </c>
      <c r="E23" s="35" t="s">
        <v>717</v>
      </c>
      <c r="F23" s="35" t="s">
        <v>544</v>
      </c>
      <c r="G23" s="17" t="s">
        <v>1383</v>
      </c>
      <c r="H23" s="13"/>
      <c r="I23" s="35" t="s">
        <v>2207</v>
      </c>
      <c r="J23" s="48">
        <v>1</v>
      </c>
    </row>
    <row r="24" spans="1:11" s="8" customFormat="1" ht="19.5" customHeight="1">
      <c r="A24" s="9">
        <f t="shared" si="0"/>
        <v>18</v>
      </c>
      <c r="B24" s="21" t="s">
        <v>350</v>
      </c>
      <c r="C24" s="22" t="s">
        <v>351</v>
      </c>
      <c r="D24" s="12">
        <v>39732</v>
      </c>
      <c r="E24" s="35" t="s">
        <v>893</v>
      </c>
      <c r="F24" s="35" t="s">
        <v>544</v>
      </c>
      <c r="G24" s="17" t="s">
        <v>890</v>
      </c>
      <c r="H24" s="13"/>
      <c r="I24" s="35" t="s">
        <v>2204</v>
      </c>
      <c r="J24" s="48">
        <v>1</v>
      </c>
    </row>
    <row r="25" spans="1:11" s="8" customFormat="1" ht="19.5" customHeight="1">
      <c r="A25" s="9">
        <f t="shared" si="0"/>
        <v>19</v>
      </c>
      <c r="B25" s="21" t="s">
        <v>385</v>
      </c>
      <c r="C25" s="22" t="s">
        <v>284</v>
      </c>
      <c r="D25" s="12">
        <v>39545</v>
      </c>
      <c r="E25" s="35" t="s">
        <v>1012</v>
      </c>
      <c r="F25" s="35" t="s">
        <v>544</v>
      </c>
      <c r="G25" s="17" t="s">
        <v>1013</v>
      </c>
      <c r="H25" s="13"/>
      <c r="I25" s="35" t="s">
        <v>2204</v>
      </c>
      <c r="J25" s="48">
        <v>1</v>
      </c>
    </row>
    <row r="26" spans="1:11" s="8" customFormat="1" ht="19.5" customHeight="1">
      <c r="A26" s="9">
        <f t="shared" si="0"/>
        <v>20</v>
      </c>
      <c r="B26" s="21" t="s">
        <v>316</v>
      </c>
      <c r="C26" s="22" t="s">
        <v>315</v>
      </c>
      <c r="D26" s="12">
        <v>39543</v>
      </c>
      <c r="E26" s="35" t="s">
        <v>903</v>
      </c>
      <c r="F26" s="35" t="s">
        <v>541</v>
      </c>
      <c r="G26" s="17" t="s">
        <v>899</v>
      </c>
      <c r="H26" s="13"/>
      <c r="I26" s="35" t="s">
        <v>2204</v>
      </c>
      <c r="J26" s="48">
        <v>1</v>
      </c>
    </row>
    <row r="27" spans="1:11" s="8" customFormat="1" ht="19.5" customHeight="1">
      <c r="A27" s="9">
        <f t="shared" si="0"/>
        <v>21</v>
      </c>
      <c r="B27" s="26" t="s">
        <v>276</v>
      </c>
      <c r="C27" s="27" t="s">
        <v>277</v>
      </c>
      <c r="D27" s="12">
        <v>39620</v>
      </c>
      <c r="E27" s="35" t="s">
        <v>1387</v>
      </c>
      <c r="F27" s="35" t="s">
        <v>553</v>
      </c>
      <c r="G27" s="17" t="s">
        <v>1388</v>
      </c>
      <c r="H27" s="13"/>
      <c r="I27" s="35" t="s">
        <v>2208</v>
      </c>
      <c r="J27" s="48">
        <v>1</v>
      </c>
    </row>
    <row r="28" spans="1:11" s="8" customFormat="1" ht="19.5" customHeight="1">
      <c r="A28" s="9">
        <f t="shared" si="0"/>
        <v>22</v>
      </c>
      <c r="B28" s="21" t="s">
        <v>533</v>
      </c>
      <c r="C28" s="22" t="s">
        <v>277</v>
      </c>
      <c r="D28" s="12">
        <v>39759</v>
      </c>
      <c r="E28" s="35" t="s">
        <v>717</v>
      </c>
      <c r="F28" s="35" t="s">
        <v>544</v>
      </c>
      <c r="G28" s="17" t="s">
        <v>997</v>
      </c>
      <c r="H28" s="17"/>
      <c r="I28" s="50" t="s">
        <v>2208</v>
      </c>
      <c r="J28" s="48">
        <v>1</v>
      </c>
    </row>
    <row r="29" spans="1:11" s="8" customFormat="1" ht="19.5" customHeight="1">
      <c r="A29" s="9">
        <f t="shared" si="0"/>
        <v>23</v>
      </c>
      <c r="B29" s="21" t="s">
        <v>345</v>
      </c>
      <c r="C29" s="22" t="s">
        <v>97</v>
      </c>
      <c r="D29" s="12">
        <v>39470</v>
      </c>
      <c r="E29" s="35" t="s">
        <v>908</v>
      </c>
      <c r="F29" s="35" t="s">
        <v>573</v>
      </c>
      <c r="G29" s="17" t="s">
        <v>909</v>
      </c>
      <c r="H29" s="13" t="s">
        <v>1466</v>
      </c>
      <c r="I29" s="35" t="s">
        <v>2204</v>
      </c>
      <c r="J29" s="48">
        <v>1</v>
      </c>
    </row>
    <row r="30" spans="1:11" s="8" customFormat="1" ht="19.5" customHeight="1">
      <c r="A30" s="9">
        <f t="shared" si="0"/>
        <v>24</v>
      </c>
      <c r="B30" s="21" t="s">
        <v>253</v>
      </c>
      <c r="C30" s="22" t="s">
        <v>191</v>
      </c>
      <c r="D30" s="12">
        <v>39232</v>
      </c>
      <c r="E30" s="35" t="s">
        <v>2042</v>
      </c>
      <c r="F30" s="35" t="s">
        <v>556</v>
      </c>
      <c r="G30" s="13"/>
      <c r="H30" s="13"/>
      <c r="I30" s="35" t="s">
        <v>2204</v>
      </c>
      <c r="J30" s="48">
        <v>1</v>
      </c>
    </row>
    <row r="31" spans="1:11" s="8" customFormat="1" ht="19.5" customHeight="1">
      <c r="A31" s="9">
        <f t="shared" si="0"/>
        <v>25</v>
      </c>
      <c r="B31" s="21" t="s">
        <v>378</v>
      </c>
      <c r="C31" s="22" t="s">
        <v>363</v>
      </c>
      <c r="D31" s="12">
        <v>39712</v>
      </c>
      <c r="E31" s="35" t="s">
        <v>621</v>
      </c>
      <c r="F31" s="35" t="s">
        <v>544</v>
      </c>
      <c r="G31" s="17" t="s">
        <v>1379</v>
      </c>
      <c r="H31" s="13"/>
      <c r="I31" s="35" t="s">
        <v>2204</v>
      </c>
      <c r="J31" s="48">
        <v>1</v>
      </c>
    </row>
    <row r="32" spans="1:11" s="8" customFormat="1" ht="19.5" customHeight="1">
      <c r="A32" s="9">
        <f t="shared" si="0"/>
        <v>26</v>
      </c>
      <c r="B32" s="21" t="s">
        <v>260</v>
      </c>
      <c r="C32" s="22" t="s">
        <v>98</v>
      </c>
      <c r="D32" s="12">
        <v>39558</v>
      </c>
      <c r="E32" s="35" t="s">
        <v>579</v>
      </c>
      <c r="F32" s="35" t="s">
        <v>541</v>
      </c>
      <c r="G32" s="17" t="s">
        <v>914</v>
      </c>
      <c r="H32" s="13"/>
      <c r="I32" s="35" t="s">
        <v>2215</v>
      </c>
      <c r="J32" s="48">
        <v>1</v>
      </c>
    </row>
    <row r="33" spans="1:14" s="8" customFormat="1" ht="19.5" customHeight="1">
      <c r="A33" s="9">
        <f t="shared" si="0"/>
        <v>27</v>
      </c>
      <c r="B33" s="21" t="s">
        <v>364</v>
      </c>
      <c r="C33" s="22" t="s">
        <v>183</v>
      </c>
      <c r="D33" s="12">
        <v>39647</v>
      </c>
      <c r="E33" s="35" t="s">
        <v>1047</v>
      </c>
      <c r="F33" s="35" t="s">
        <v>556</v>
      </c>
      <c r="G33" s="17" t="s">
        <v>1048</v>
      </c>
      <c r="H33" s="13"/>
      <c r="I33" s="35" t="s">
        <v>2204</v>
      </c>
      <c r="J33" s="48" t="str">
        <f t="shared" ref="J33:K34" si="1">PROPER(B33)</f>
        <v xml:space="preserve">Trịnh Thị Thanh </v>
      </c>
      <c r="K33" s="8" t="str">
        <f t="shared" si="1"/>
        <v>Thảo</v>
      </c>
    </row>
    <row r="34" spans="1:14" s="8" customFormat="1" ht="19.5" customHeight="1">
      <c r="A34" s="9">
        <f t="shared" si="0"/>
        <v>28</v>
      </c>
      <c r="B34" s="21" t="s">
        <v>311</v>
      </c>
      <c r="C34" s="22" t="s">
        <v>312</v>
      </c>
      <c r="D34" s="12">
        <v>39479</v>
      </c>
      <c r="E34" s="35" t="s">
        <v>916</v>
      </c>
      <c r="F34" s="35" t="s">
        <v>553</v>
      </c>
      <c r="G34" s="17" t="s">
        <v>919</v>
      </c>
      <c r="H34" s="13" t="s">
        <v>578</v>
      </c>
      <c r="I34" s="35" t="s">
        <v>2204</v>
      </c>
      <c r="J34" s="48" t="str">
        <f t="shared" si="1"/>
        <v xml:space="preserve">Lê Thị Ánh </v>
      </c>
      <c r="K34" s="8" t="str">
        <f t="shared" si="1"/>
        <v>Thi</v>
      </c>
      <c r="N34" s="8">
        <f>32+53</f>
        <v>85</v>
      </c>
    </row>
    <row r="35" spans="1:14" s="8" customFormat="1" ht="19.5" customHeight="1">
      <c r="A35" s="9">
        <f t="shared" si="0"/>
        <v>29</v>
      </c>
      <c r="B35" s="21" t="s">
        <v>295</v>
      </c>
      <c r="C35" s="22" t="s">
        <v>62</v>
      </c>
      <c r="D35" s="12">
        <v>39548</v>
      </c>
      <c r="E35" s="35" t="s">
        <v>1377</v>
      </c>
      <c r="F35" s="35" t="s">
        <v>573</v>
      </c>
      <c r="G35" s="17" t="s">
        <v>920</v>
      </c>
      <c r="H35" s="13" t="s">
        <v>1466</v>
      </c>
      <c r="I35" s="35" t="s">
        <v>2204</v>
      </c>
      <c r="J35" s="48" t="e">
        <f>PROPER(#REF!)</f>
        <v>#REF!</v>
      </c>
      <c r="K35" s="8" t="e">
        <f>PROPER(#REF!)</f>
        <v>#REF!</v>
      </c>
    </row>
    <row r="36" spans="1:14" s="8" customFormat="1" ht="19.5" customHeight="1">
      <c r="A36" s="9">
        <f t="shared" si="0"/>
        <v>30</v>
      </c>
      <c r="B36" s="21" t="s">
        <v>256</v>
      </c>
      <c r="C36" s="22" t="s">
        <v>257</v>
      </c>
      <c r="D36" s="12">
        <v>39525</v>
      </c>
      <c r="E36" s="35" t="s">
        <v>676</v>
      </c>
      <c r="F36" s="35" t="s">
        <v>541</v>
      </c>
      <c r="G36" s="17" t="s">
        <v>922</v>
      </c>
      <c r="H36" s="13"/>
      <c r="I36" s="35" t="s">
        <v>2204</v>
      </c>
      <c r="J36" s="48" t="e">
        <f>PROPER(#REF!)</f>
        <v>#REF!</v>
      </c>
      <c r="K36" s="8" t="e">
        <f>PROPER(#REF!)</f>
        <v>#REF!</v>
      </c>
    </row>
    <row r="37" spans="1:14" s="8" customFormat="1" ht="19.5" customHeight="1">
      <c r="A37" s="9">
        <f t="shared" si="0"/>
        <v>31</v>
      </c>
      <c r="B37" s="21" t="s">
        <v>338</v>
      </c>
      <c r="C37" s="22" t="s">
        <v>339</v>
      </c>
      <c r="D37" s="12">
        <v>39750</v>
      </c>
      <c r="E37" s="35" t="s">
        <v>917</v>
      </c>
      <c r="F37" s="35" t="s">
        <v>544</v>
      </c>
      <c r="G37" s="17" t="s">
        <v>925</v>
      </c>
      <c r="H37" s="13"/>
      <c r="I37" s="35" t="s">
        <v>2204</v>
      </c>
      <c r="J37" s="48" t="e">
        <f>PROPER(#REF!)</f>
        <v>#REF!</v>
      </c>
      <c r="K37" s="8" t="e">
        <f>PROPER(#REF!)</f>
        <v>#REF!</v>
      </c>
    </row>
    <row r="38" spans="1:14" s="8" customFormat="1" ht="19.5" customHeight="1">
      <c r="A38" s="9">
        <f t="shared" si="0"/>
        <v>32</v>
      </c>
      <c r="B38" s="21" t="s">
        <v>258</v>
      </c>
      <c r="C38" s="22" t="s">
        <v>259</v>
      </c>
      <c r="D38" s="12">
        <v>39772</v>
      </c>
      <c r="E38" s="12" t="s">
        <v>928</v>
      </c>
      <c r="F38" s="35" t="s">
        <v>553</v>
      </c>
      <c r="G38" s="17" t="s">
        <v>929</v>
      </c>
      <c r="H38" s="13"/>
      <c r="I38" s="35" t="s">
        <v>2204</v>
      </c>
      <c r="J38" s="48"/>
    </row>
    <row r="39" spans="1:14" s="8" customFormat="1" ht="19.5" customHeight="1">
      <c r="A39" s="9">
        <f t="shared" si="0"/>
        <v>33</v>
      </c>
      <c r="B39" s="21" t="s">
        <v>286</v>
      </c>
      <c r="C39" s="22" t="s">
        <v>287</v>
      </c>
      <c r="D39" s="12">
        <v>39777</v>
      </c>
      <c r="E39" s="35" t="s">
        <v>944</v>
      </c>
      <c r="F39" s="35" t="s">
        <v>541</v>
      </c>
      <c r="G39" s="17" t="s">
        <v>932</v>
      </c>
      <c r="H39" s="13" t="s">
        <v>1466</v>
      </c>
      <c r="I39" s="35" t="s">
        <v>2204</v>
      </c>
      <c r="J39" s="48"/>
    </row>
    <row r="40" spans="1:14" s="8" customFormat="1" ht="19.5" customHeight="1">
      <c r="A40" s="9">
        <f t="shared" si="0"/>
        <v>34</v>
      </c>
      <c r="B40" s="21" t="s">
        <v>1147</v>
      </c>
      <c r="C40" s="22" t="s">
        <v>1148</v>
      </c>
      <c r="D40" s="12" t="s">
        <v>1144</v>
      </c>
      <c r="E40" s="35" t="s">
        <v>1161</v>
      </c>
      <c r="F40" s="35" t="s">
        <v>556</v>
      </c>
      <c r="G40" s="17" t="s">
        <v>1166</v>
      </c>
      <c r="H40" s="17"/>
      <c r="I40" s="50" t="s">
        <v>2204</v>
      </c>
      <c r="J40" s="48"/>
    </row>
    <row r="41" spans="1:14" s="8" customFormat="1" ht="19.5" customHeight="1">
      <c r="A41" s="9">
        <f t="shared" si="0"/>
        <v>35</v>
      </c>
      <c r="B41" s="21" t="s">
        <v>301</v>
      </c>
      <c r="C41" s="22" t="s">
        <v>302</v>
      </c>
      <c r="D41" s="12">
        <v>39558</v>
      </c>
      <c r="E41" s="35" t="s">
        <v>679</v>
      </c>
      <c r="F41" s="35" t="s">
        <v>544</v>
      </c>
      <c r="G41" s="17" t="s">
        <v>936</v>
      </c>
      <c r="H41" s="13"/>
      <c r="I41" s="35" t="s">
        <v>2204</v>
      </c>
      <c r="J41" s="48"/>
    </row>
    <row r="42" spans="1:14" s="8" customFormat="1" ht="19.5" customHeight="1">
      <c r="A42" s="9">
        <f t="shared" si="0"/>
        <v>36</v>
      </c>
      <c r="B42" s="21" t="s">
        <v>341</v>
      </c>
      <c r="C42" s="22" t="s">
        <v>342</v>
      </c>
      <c r="D42" s="12">
        <v>39500</v>
      </c>
      <c r="E42" s="35" t="s">
        <v>725</v>
      </c>
      <c r="F42" s="35" t="s">
        <v>541</v>
      </c>
      <c r="G42" s="17" t="s">
        <v>937</v>
      </c>
      <c r="H42" s="13"/>
      <c r="I42" s="35" t="s">
        <v>2204</v>
      </c>
      <c r="J42" s="48"/>
    </row>
    <row r="43" spans="1:14" s="8" customFormat="1" ht="19.5" customHeight="1">
      <c r="A43" s="9">
        <f t="shared" si="0"/>
        <v>37</v>
      </c>
      <c r="B43" s="21" t="s">
        <v>308</v>
      </c>
      <c r="C43" s="22" t="s">
        <v>290</v>
      </c>
      <c r="D43" s="12">
        <v>39679</v>
      </c>
      <c r="E43" s="35" t="s">
        <v>946</v>
      </c>
      <c r="F43" s="35" t="s">
        <v>573</v>
      </c>
      <c r="G43" s="17" t="s">
        <v>939</v>
      </c>
      <c r="H43" s="13" t="s">
        <v>1466</v>
      </c>
      <c r="I43" s="35" t="s">
        <v>2204</v>
      </c>
      <c r="J43" s="48"/>
    </row>
    <row r="44" spans="1:14" s="8" customFormat="1" ht="19.5" customHeight="1">
      <c r="A44" s="9">
        <f t="shared" si="0"/>
        <v>38</v>
      </c>
      <c r="B44" s="21" t="s">
        <v>268</v>
      </c>
      <c r="C44" s="22" t="s">
        <v>269</v>
      </c>
      <c r="D44" s="12">
        <v>39513</v>
      </c>
      <c r="E44" s="35" t="s">
        <v>717</v>
      </c>
      <c r="F44" s="35" t="s">
        <v>544</v>
      </c>
      <c r="G44" s="17" t="s">
        <v>1380</v>
      </c>
      <c r="H44" s="13"/>
      <c r="I44" s="35" t="s">
        <v>2215</v>
      </c>
      <c r="J44" s="48"/>
    </row>
    <row r="45" spans="1:14" s="8" customFormat="1" ht="19.5" customHeight="1">
      <c r="A45" s="9">
        <f t="shared" si="0"/>
        <v>39</v>
      </c>
      <c r="B45" s="21" t="s">
        <v>1769</v>
      </c>
      <c r="C45" s="22" t="s">
        <v>324</v>
      </c>
      <c r="D45" s="12" t="s">
        <v>1772</v>
      </c>
      <c r="E45" s="35" t="s">
        <v>1047</v>
      </c>
      <c r="F45" s="35" t="s">
        <v>556</v>
      </c>
      <c r="G45" s="17" t="s">
        <v>2730</v>
      </c>
      <c r="H45" s="17" t="s">
        <v>2729</v>
      </c>
      <c r="I45" s="50" t="s">
        <v>2204</v>
      </c>
      <c r="J45" s="48"/>
    </row>
    <row r="46" spans="1:14" s="8" customFormat="1" ht="19.5" customHeight="1">
      <c r="A46" s="9">
        <f t="shared" si="0"/>
        <v>40</v>
      </c>
      <c r="B46" s="21" t="s">
        <v>2381</v>
      </c>
      <c r="C46" s="22" t="s">
        <v>271</v>
      </c>
      <c r="D46" s="102" t="s">
        <v>2383</v>
      </c>
      <c r="E46" s="13" t="s">
        <v>2408</v>
      </c>
      <c r="F46" s="13" t="s">
        <v>544</v>
      </c>
      <c r="G46" s="17" t="s">
        <v>2409</v>
      </c>
      <c r="H46" s="13" t="s">
        <v>2499</v>
      </c>
      <c r="I46" s="35" t="s">
        <v>2204</v>
      </c>
      <c r="J46" s="48"/>
    </row>
    <row r="47" spans="1:14" ht="21.75" customHeight="1">
      <c r="A47" s="9">
        <f t="shared" si="0"/>
        <v>41</v>
      </c>
      <c r="B47" s="21" t="s">
        <v>1770</v>
      </c>
      <c r="C47" s="22" t="s">
        <v>318</v>
      </c>
      <c r="D47" s="12" t="s">
        <v>1252</v>
      </c>
      <c r="E47" s="35" t="s">
        <v>2884</v>
      </c>
      <c r="F47" s="35" t="s">
        <v>556</v>
      </c>
      <c r="G47" s="17">
        <v>329461470</v>
      </c>
      <c r="H47" s="13" t="s">
        <v>3482</v>
      </c>
      <c r="I47" s="35" t="s">
        <v>2208</v>
      </c>
    </row>
  </sheetData>
  <sortState ref="B7:H45">
    <sortCondition ref="C7:C45"/>
  </sortState>
  <mergeCells count="8">
    <mergeCell ref="B6:C6"/>
    <mergeCell ref="A1:D1"/>
    <mergeCell ref="E1:H1"/>
    <mergeCell ref="A2:D2"/>
    <mergeCell ref="E2:H2"/>
    <mergeCell ref="A4:H4"/>
    <mergeCell ref="A5:H5"/>
    <mergeCell ref="E6:F6"/>
  </mergeCells>
  <pageMargins left="0.2" right="0.2" top="0.31" bottom="0.31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topLeftCell="A19" workbookViewId="0">
      <selection activeCell="B35" sqref="B35:D35"/>
    </sheetView>
  </sheetViews>
  <sheetFormatPr defaultRowHeight="15"/>
  <cols>
    <col min="1" max="1" width="5.28515625" style="1" customWidth="1"/>
    <col min="2" max="2" width="20.140625" style="1" customWidth="1"/>
    <col min="3" max="3" width="8.28515625" style="1" customWidth="1"/>
    <col min="4" max="4" width="9.85546875" style="1" customWidth="1"/>
    <col min="5" max="5" width="16.42578125" style="1" customWidth="1"/>
    <col min="6" max="6" width="15.140625" style="1" customWidth="1"/>
    <col min="7" max="7" width="14.5703125" style="1" customWidth="1"/>
    <col min="8" max="8" width="13.28515625" style="1" customWidth="1"/>
    <col min="9" max="9" width="35" style="156" customWidth="1"/>
    <col min="10" max="10" width="18.5703125" style="42" customWidth="1"/>
    <col min="11" max="16384" width="9.140625" style="1"/>
  </cols>
  <sheetData>
    <row r="1" spans="1:10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  <c r="I1" s="166"/>
    </row>
    <row r="2" spans="1:10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  <c r="I2" s="166"/>
    </row>
    <row r="3" spans="1:10" ht="15.75" customHeight="1">
      <c r="A3" s="2"/>
      <c r="B3" s="3"/>
      <c r="C3" s="3"/>
      <c r="D3" s="3"/>
    </row>
    <row r="4" spans="1:10" ht="15.75" customHeight="1">
      <c r="A4" s="308" t="s">
        <v>10</v>
      </c>
      <c r="B4" s="308"/>
      <c r="C4" s="308"/>
      <c r="D4" s="308"/>
      <c r="E4" s="308"/>
      <c r="F4" s="308"/>
      <c r="G4" s="308"/>
      <c r="H4" s="308"/>
      <c r="I4" s="167"/>
    </row>
    <row r="5" spans="1:10" s="4" customFormat="1" ht="23.25" customHeight="1">
      <c r="A5" s="309" t="s">
        <v>1302</v>
      </c>
      <c r="B5" s="309"/>
      <c r="C5" s="309"/>
      <c r="D5" s="309"/>
      <c r="E5" s="309"/>
      <c r="F5" s="309"/>
      <c r="G5" s="309"/>
      <c r="H5" s="309"/>
      <c r="I5" s="168"/>
      <c r="J5" s="47"/>
    </row>
    <row r="6" spans="1:10" s="8" customFormat="1" ht="45.75" customHeight="1">
      <c r="A6" s="5" t="s">
        <v>4</v>
      </c>
      <c r="B6" s="302" t="s">
        <v>5</v>
      </c>
      <c r="C6" s="303"/>
      <c r="D6" s="6" t="s">
        <v>6</v>
      </c>
      <c r="E6" s="304" t="s">
        <v>11</v>
      </c>
      <c r="F6" s="305"/>
      <c r="G6" s="20" t="s">
        <v>226</v>
      </c>
      <c r="H6" s="7" t="s">
        <v>7</v>
      </c>
      <c r="I6" s="5" t="s">
        <v>2219</v>
      </c>
      <c r="J6" s="48"/>
    </row>
    <row r="7" spans="1:10" s="8" customFormat="1" ht="19.5" customHeight="1">
      <c r="A7" s="9">
        <f>ROW()-6</f>
        <v>1</v>
      </c>
      <c r="B7" s="21" t="s">
        <v>303</v>
      </c>
      <c r="C7" s="22" t="s">
        <v>70</v>
      </c>
      <c r="D7" s="12">
        <v>39609</v>
      </c>
      <c r="E7" s="35" t="s">
        <v>1369</v>
      </c>
      <c r="F7" s="35" t="s">
        <v>556</v>
      </c>
      <c r="G7" s="17" t="s">
        <v>1370</v>
      </c>
      <c r="H7" s="13"/>
      <c r="I7" s="35" t="s">
        <v>2204</v>
      </c>
      <c r="J7" s="48">
        <v>3</v>
      </c>
    </row>
    <row r="8" spans="1:10" s="8" customFormat="1" ht="19.5" customHeight="1">
      <c r="A8" s="9">
        <f t="shared" ref="A8:A52" si="0">ROW()-6</f>
        <v>2</v>
      </c>
      <c r="B8" s="21" t="s">
        <v>534</v>
      </c>
      <c r="C8" s="22" t="s">
        <v>535</v>
      </c>
      <c r="D8" s="12">
        <v>39592</v>
      </c>
      <c r="E8" s="35" t="s">
        <v>560</v>
      </c>
      <c r="F8" s="35" t="s">
        <v>541</v>
      </c>
      <c r="G8" s="17" t="s">
        <v>864</v>
      </c>
      <c r="H8" s="17"/>
      <c r="I8" s="50" t="s">
        <v>2204</v>
      </c>
      <c r="J8" s="48">
        <v>2</v>
      </c>
    </row>
    <row r="9" spans="1:10" s="8" customFormat="1" ht="19.5" customHeight="1">
      <c r="A9" s="9">
        <f t="shared" si="0"/>
        <v>3</v>
      </c>
      <c r="B9" s="21" t="s">
        <v>278</v>
      </c>
      <c r="C9" s="22" t="s">
        <v>279</v>
      </c>
      <c r="D9" s="12">
        <v>39793</v>
      </c>
      <c r="E9" s="35" t="s">
        <v>995</v>
      </c>
      <c r="F9" s="35" t="s">
        <v>544</v>
      </c>
      <c r="G9" s="17" t="s">
        <v>996</v>
      </c>
      <c r="H9" s="13"/>
      <c r="I9" s="35" t="s">
        <v>2204</v>
      </c>
      <c r="J9" s="48">
        <v>3</v>
      </c>
    </row>
    <row r="10" spans="1:10" s="8" customFormat="1" ht="19.5" customHeight="1">
      <c r="A10" s="9">
        <f t="shared" si="0"/>
        <v>4</v>
      </c>
      <c r="B10" s="21" t="s">
        <v>299</v>
      </c>
      <c r="C10" s="22" t="s">
        <v>300</v>
      </c>
      <c r="D10" s="12">
        <v>39732</v>
      </c>
      <c r="E10" s="35" t="s">
        <v>1160</v>
      </c>
      <c r="F10" s="35" t="s">
        <v>556</v>
      </c>
      <c r="G10" s="17" t="s">
        <v>1167</v>
      </c>
      <c r="H10" s="13"/>
      <c r="I10" s="35" t="s">
        <v>2204</v>
      </c>
      <c r="J10" s="48">
        <v>2</v>
      </c>
    </row>
    <row r="11" spans="1:10" s="8" customFormat="1" ht="19.5" customHeight="1">
      <c r="A11" s="9">
        <f t="shared" si="0"/>
        <v>5</v>
      </c>
      <c r="B11" s="21" t="s">
        <v>288</v>
      </c>
      <c r="C11" s="22" t="s">
        <v>232</v>
      </c>
      <c r="D11" s="12">
        <v>39697</v>
      </c>
      <c r="E11" s="35" t="s">
        <v>685</v>
      </c>
      <c r="F11" s="35" t="s">
        <v>556</v>
      </c>
      <c r="G11" s="17" t="s">
        <v>1168</v>
      </c>
      <c r="H11" s="13"/>
      <c r="I11" s="35" t="s">
        <v>3485</v>
      </c>
      <c r="J11" s="48">
        <v>2</v>
      </c>
    </row>
    <row r="12" spans="1:10" s="8" customFormat="1" ht="19.5" customHeight="1">
      <c r="A12" s="9">
        <f t="shared" si="0"/>
        <v>6</v>
      </c>
      <c r="B12" s="21" t="s">
        <v>306</v>
      </c>
      <c r="C12" s="22" t="s">
        <v>307</v>
      </c>
      <c r="D12" s="15">
        <v>39809</v>
      </c>
      <c r="E12" s="37" t="s">
        <v>1161</v>
      </c>
      <c r="F12" s="37" t="s">
        <v>556</v>
      </c>
      <c r="G12" s="38" t="s">
        <v>2931</v>
      </c>
      <c r="H12" s="16"/>
      <c r="I12" s="35" t="s">
        <v>2204</v>
      </c>
      <c r="J12" s="48">
        <v>2</v>
      </c>
    </row>
    <row r="13" spans="1:10" s="8" customFormat="1" ht="19.5" customHeight="1">
      <c r="A13" s="9">
        <f t="shared" si="0"/>
        <v>7</v>
      </c>
      <c r="B13" s="21" t="s">
        <v>337</v>
      </c>
      <c r="C13" s="22" t="s">
        <v>271</v>
      </c>
      <c r="D13" s="12">
        <v>39574</v>
      </c>
      <c r="E13" s="35" t="s">
        <v>1273</v>
      </c>
      <c r="F13" s="35" t="s">
        <v>544</v>
      </c>
      <c r="G13" s="17" t="s">
        <v>1274</v>
      </c>
      <c r="H13" s="13"/>
      <c r="I13" s="35" t="s">
        <v>2204</v>
      </c>
      <c r="J13" s="48">
        <v>2</v>
      </c>
    </row>
    <row r="14" spans="1:10" s="8" customFormat="1" ht="19.5" customHeight="1">
      <c r="A14" s="9">
        <f t="shared" si="0"/>
        <v>8</v>
      </c>
      <c r="B14" s="21" t="s">
        <v>270</v>
      </c>
      <c r="C14" s="22" t="s">
        <v>271</v>
      </c>
      <c r="D14" s="12">
        <v>39458</v>
      </c>
      <c r="E14" s="35" t="s">
        <v>893</v>
      </c>
      <c r="F14" s="35" t="s">
        <v>544</v>
      </c>
      <c r="G14" s="17" t="s">
        <v>1186</v>
      </c>
      <c r="H14" s="13"/>
      <c r="I14" s="35" t="s">
        <v>2204</v>
      </c>
      <c r="J14" s="48">
        <v>2</v>
      </c>
    </row>
    <row r="15" spans="1:10" s="8" customFormat="1" ht="19.5" customHeight="1">
      <c r="A15" s="9">
        <f t="shared" si="0"/>
        <v>9</v>
      </c>
      <c r="B15" s="21" t="s">
        <v>1138</v>
      </c>
      <c r="C15" s="22" t="s">
        <v>1163</v>
      </c>
      <c r="D15" s="12">
        <v>39653</v>
      </c>
      <c r="E15" s="35" t="s">
        <v>1164</v>
      </c>
      <c r="F15" s="35" t="s">
        <v>556</v>
      </c>
      <c r="G15" s="17" t="s">
        <v>1172</v>
      </c>
      <c r="H15" s="13"/>
      <c r="I15" s="35" t="s">
        <v>2204</v>
      </c>
      <c r="J15" s="48">
        <v>2</v>
      </c>
    </row>
    <row r="16" spans="1:10" s="8" customFormat="1" ht="19.5" customHeight="1">
      <c r="A16" s="9">
        <f t="shared" si="0"/>
        <v>10</v>
      </c>
      <c r="B16" s="21" t="s">
        <v>332</v>
      </c>
      <c r="C16" s="22" t="s">
        <v>333</v>
      </c>
      <c r="D16" s="12">
        <v>39520</v>
      </c>
      <c r="E16" s="35" t="s">
        <v>1158</v>
      </c>
      <c r="F16" s="35" t="s">
        <v>541</v>
      </c>
      <c r="G16" s="17" t="s">
        <v>2867</v>
      </c>
      <c r="H16" s="13"/>
      <c r="I16" s="35" t="s">
        <v>2204</v>
      </c>
      <c r="J16" s="48">
        <v>2</v>
      </c>
    </row>
    <row r="17" spans="1:10" s="8" customFormat="1" ht="19.5" customHeight="1">
      <c r="A17" s="9">
        <f t="shared" si="0"/>
        <v>11</v>
      </c>
      <c r="B17" s="21" t="s">
        <v>515</v>
      </c>
      <c r="C17" s="22" t="s">
        <v>166</v>
      </c>
      <c r="D17" s="12" t="s">
        <v>1340</v>
      </c>
      <c r="E17" s="35" t="s">
        <v>970</v>
      </c>
      <c r="F17" s="35" t="s">
        <v>573</v>
      </c>
      <c r="G17" s="17" t="s">
        <v>1392</v>
      </c>
      <c r="H17" s="13"/>
      <c r="I17" s="35" t="s">
        <v>2204</v>
      </c>
      <c r="J17" s="48">
        <v>2</v>
      </c>
    </row>
    <row r="18" spans="1:10" s="8" customFormat="1" ht="19.5" customHeight="1">
      <c r="A18" s="9">
        <f t="shared" si="0"/>
        <v>12</v>
      </c>
      <c r="B18" s="21" t="s">
        <v>346</v>
      </c>
      <c r="C18" s="22" t="s">
        <v>347</v>
      </c>
      <c r="D18" s="12">
        <v>39775</v>
      </c>
      <c r="E18" s="35" t="s">
        <v>1157</v>
      </c>
      <c r="F18" s="35" t="s">
        <v>556</v>
      </c>
      <c r="G18" s="17" t="s">
        <v>1169</v>
      </c>
      <c r="H18" s="13"/>
      <c r="I18" s="35" t="s">
        <v>2204</v>
      </c>
      <c r="J18" s="48">
        <v>2</v>
      </c>
    </row>
    <row r="19" spans="1:10" s="8" customFormat="1" ht="19.5" customHeight="1">
      <c r="A19" s="9">
        <f t="shared" si="0"/>
        <v>13</v>
      </c>
      <c r="B19" s="21" t="s">
        <v>1393</v>
      </c>
      <c r="C19" s="22" t="s">
        <v>347</v>
      </c>
      <c r="D19" s="12">
        <v>39747</v>
      </c>
      <c r="E19" s="35" t="s">
        <v>895</v>
      </c>
      <c r="F19" s="35" t="s">
        <v>556</v>
      </c>
      <c r="G19" s="17" t="s">
        <v>1394</v>
      </c>
      <c r="H19" s="13"/>
      <c r="I19" s="35" t="s">
        <v>2204</v>
      </c>
      <c r="J19" s="48">
        <v>2</v>
      </c>
    </row>
    <row r="20" spans="1:10" s="8" customFormat="1" ht="19.5" customHeight="1">
      <c r="A20" s="9">
        <f t="shared" si="0"/>
        <v>14</v>
      </c>
      <c r="B20" s="21" t="s">
        <v>539</v>
      </c>
      <c r="C20" s="22" t="s">
        <v>310</v>
      </c>
      <c r="D20" s="12" t="s">
        <v>1245</v>
      </c>
      <c r="E20" s="35" t="s">
        <v>1161</v>
      </c>
      <c r="F20" s="35" t="s">
        <v>556</v>
      </c>
      <c r="G20" s="17" t="s">
        <v>2732</v>
      </c>
      <c r="H20" s="13"/>
      <c r="I20" s="35" t="s">
        <v>2204</v>
      </c>
      <c r="J20" s="48">
        <v>2</v>
      </c>
    </row>
    <row r="21" spans="1:10" s="8" customFormat="1" ht="19.5" customHeight="1">
      <c r="A21" s="9">
        <f t="shared" si="0"/>
        <v>15</v>
      </c>
      <c r="B21" s="21" t="s">
        <v>254</v>
      </c>
      <c r="C21" s="22" t="s">
        <v>255</v>
      </c>
      <c r="D21" s="12">
        <v>39777</v>
      </c>
      <c r="E21" s="35" t="s">
        <v>885</v>
      </c>
      <c r="F21" s="35" t="s">
        <v>541</v>
      </c>
      <c r="G21" s="17" t="s">
        <v>877</v>
      </c>
      <c r="H21" s="13"/>
      <c r="I21" s="35" t="s">
        <v>2204</v>
      </c>
      <c r="J21" s="48">
        <v>2</v>
      </c>
    </row>
    <row r="22" spans="1:10" s="8" customFormat="1" ht="19.5" customHeight="1">
      <c r="A22" s="9">
        <f t="shared" si="0"/>
        <v>16</v>
      </c>
      <c r="B22" s="21" t="s">
        <v>293</v>
      </c>
      <c r="C22" s="22" t="s">
        <v>294</v>
      </c>
      <c r="D22" s="12">
        <v>39474</v>
      </c>
      <c r="E22" s="35" t="s">
        <v>886</v>
      </c>
      <c r="F22" s="35" t="s">
        <v>541</v>
      </c>
      <c r="G22" s="17" t="s">
        <v>879</v>
      </c>
      <c r="H22" s="13" t="s">
        <v>2683</v>
      </c>
      <c r="I22" s="35" t="s">
        <v>2204</v>
      </c>
      <c r="J22" s="48">
        <v>2</v>
      </c>
    </row>
    <row r="23" spans="1:10" s="8" customFormat="1" ht="19.5" customHeight="1">
      <c r="A23" s="9">
        <f t="shared" si="0"/>
        <v>17</v>
      </c>
      <c r="B23" s="21" t="s">
        <v>355</v>
      </c>
      <c r="C23" s="22" t="s">
        <v>294</v>
      </c>
      <c r="D23" s="12">
        <v>39643</v>
      </c>
      <c r="E23" s="35" t="s">
        <v>735</v>
      </c>
      <c r="F23" s="35" t="s">
        <v>556</v>
      </c>
      <c r="G23" s="17" t="s">
        <v>880</v>
      </c>
      <c r="H23" s="13"/>
      <c r="I23" s="35" t="s">
        <v>2204</v>
      </c>
      <c r="J23" s="48">
        <v>2</v>
      </c>
    </row>
    <row r="24" spans="1:10" s="8" customFormat="1" ht="19.5" customHeight="1">
      <c r="A24" s="9">
        <f t="shared" si="0"/>
        <v>18</v>
      </c>
      <c r="B24" s="21" t="s">
        <v>352</v>
      </c>
      <c r="C24" s="22" t="s">
        <v>188</v>
      </c>
      <c r="D24" s="12">
        <v>39676</v>
      </c>
      <c r="E24" s="35" t="s">
        <v>714</v>
      </c>
      <c r="F24" s="35" t="s">
        <v>541</v>
      </c>
      <c r="G24" s="17" t="s">
        <v>882</v>
      </c>
      <c r="H24" s="13"/>
      <c r="I24" s="35" t="s">
        <v>2204</v>
      </c>
      <c r="J24" s="48">
        <v>3</v>
      </c>
    </row>
    <row r="25" spans="1:10" s="8" customFormat="1" ht="19.5" customHeight="1">
      <c r="A25" s="9">
        <f t="shared" si="0"/>
        <v>19</v>
      </c>
      <c r="B25" s="21" t="s">
        <v>377</v>
      </c>
      <c r="C25" s="22" t="s">
        <v>262</v>
      </c>
      <c r="D25" s="12">
        <v>39664</v>
      </c>
      <c r="E25" s="35" t="s">
        <v>697</v>
      </c>
      <c r="F25" s="35" t="s">
        <v>556</v>
      </c>
      <c r="G25" s="17" t="s">
        <v>1016</v>
      </c>
      <c r="H25" s="13"/>
      <c r="I25" s="35" t="s">
        <v>2204</v>
      </c>
      <c r="J25" s="48">
        <v>2</v>
      </c>
    </row>
    <row r="26" spans="1:10" s="8" customFormat="1" ht="19.5" customHeight="1">
      <c r="A26" s="9">
        <f t="shared" si="0"/>
        <v>20</v>
      </c>
      <c r="B26" s="21" t="s">
        <v>261</v>
      </c>
      <c r="C26" s="22" t="s">
        <v>262</v>
      </c>
      <c r="D26" s="12">
        <v>39752</v>
      </c>
      <c r="E26" s="35" t="s">
        <v>888</v>
      </c>
      <c r="F26" s="35" t="s">
        <v>553</v>
      </c>
      <c r="G26" s="17" t="s">
        <v>884</v>
      </c>
      <c r="H26" s="13"/>
      <c r="I26" s="35" t="s">
        <v>2204</v>
      </c>
      <c r="J26" s="48">
        <v>2</v>
      </c>
    </row>
    <row r="27" spans="1:10" s="8" customFormat="1" ht="19.5" customHeight="1">
      <c r="A27" s="9">
        <f t="shared" si="0"/>
        <v>21</v>
      </c>
      <c r="B27" s="21" t="s">
        <v>861</v>
      </c>
      <c r="C27" s="22" t="s">
        <v>351</v>
      </c>
      <c r="D27" s="12">
        <v>38856</v>
      </c>
      <c r="E27" s="35" t="s">
        <v>862</v>
      </c>
      <c r="F27" s="35" t="s">
        <v>573</v>
      </c>
      <c r="G27" s="17" t="s">
        <v>863</v>
      </c>
      <c r="H27" s="17"/>
      <c r="I27" s="50" t="s">
        <v>2204</v>
      </c>
      <c r="J27" s="48">
        <v>3</v>
      </c>
    </row>
    <row r="28" spans="1:10" s="8" customFormat="1" ht="19.5" customHeight="1">
      <c r="A28" s="9">
        <f t="shared" si="0"/>
        <v>22</v>
      </c>
      <c r="B28" s="21" t="s">
        <v>336</v>
      </c>
      <c r="C28" s="22" t="s">
        <v>284</v>
      </c>
      <c r="D28" s="12">
        <v>39637</v>
      </c>
      <c r="E28" s="35" t="s">
        <v>895</v>
      </c>
      <c r="F28" s="35" t="s">
        <v>556</v>
      </c>
      <c r="G28" s="17" t="s">
        <v>896</v>
      </c>
      <c r="H28" s="13"/>
      <c r="I28" s="35" t="s">
        <v>2204</v>
      </c>
      <c r="J28" s="48">
        <v>3</v>
      </c>
    </row>
    <row r="29" spans="1:10" s="8" customFormat="1" ht="19.5" customHeight="1">
      <c r="A29" s="9">
        <f t="shared" si="0"/>
        <v>23</v>
      </c>
      <c r="B29" s="21" t="s">
        <v>372</v>
      </c>
      <c r="C29" s="22" t="s">
        <v>284</v>
      </c>
      <c r="D29" s="12">
        <v>39622</v>
      </c>
      <c r="E29" s="35" t="s">
        <v>705</v>
      </c>
      <c r="F29" s="35" t="s">
        <v>541</v>
      </c>
      <c r="G29" s="17" t="s">
        <v>897</v>
      </c>
      <c r="H29" s="13"/>
      <c r="I29" s="35" t="s">
        <v>2204</v>
      </c>
      <c r="J29" s="48">
        <v>2</v>
      </c>
    </row>
    <row r="30" spans="1:10" s="8" customFormat="1" ht="19.5" customHeight="1">
      <c r="A30" s="9">
        <f t="shared" si="0"/>
        <v>24</v>
      </c>
      <c r="B30" s="21" t="s">
        <v>330</v>
      </c>
      <c r="C30" s="22" t="s">
        <v>331</v>
      </c>
      <c r="D30" s="12">
        <v>39660</v>
      </c>
      <c r="E30" s="35" t="s">
        <v>592</v>
      </c>
      <c r="F30" s="35" t="s">
        <v>541</v>
      </c>
      <c r="G30" s="17" t="s">
        <v>1275</v>
      </c>
      <c r="H30" s="13"/>
      <c r="I30" s="35" t="s">
        <v>2207</v>
      </c>
      <c r="J30" s="48">
        <v>2</v>
      </c>
    </row>
    <row r="31" spans="1:10" s="8" customFormat="1" ht="19.5" customHeight="1">
      <c r="A31" s="9">
        <f t="shared" si="0"/>
        <v>25</v>
      </c>
      <c r="B31" s="21" t="s">
        <v>272</v>
      </c>
      <c r="C31" s="22" t="s">
        <v>216</v>
      </c>
      <c r="D31" s="12">
        <v>39652</v>
      </c>
      <c r="E31" s="35" t="s">
        <v>1185</v>
      </c>
      <c r="F31" s="35" t="s">
        <v>553</v>
      </c>
      <c r="G31" s="17" t="s">
        <v>1184</v>
      </c>
      <c r="H31" s="13"/>
      <c r="I31" s="35" t="s">
        <v>2204</v>
      </c>
      <c r="J31" s="48">
        <v>2</v>
      </c>
    </row>
    <row r="32" spans="1:10" s="8" customFormat="1" ht="19.5" customHeight="1">
      <c r="A32" s="9">
        <f t="shared" si="0"/>
        <v>26</v>
      </c>
      <c r="B32" s="21" t="s">
        <v>291</v>
      </c>
      <c r="C32" s="22" t="s">
        <v>292</v>
      </c>
      <c r="D32" s="12">
        <v>39474</v>
      </c>
      <c r="E32" s="35" t="s">
        <v>621</v>
      </c>
      <c r="F32" s="35" t="s">
        <v>544</v>
      </c>
      <c r="G32" s="17" t="s">
        <v>898</v>
      </c>
      <c r="H32" s="13"/>
      <c r="I32" s="35" t="s">
        <v>2204</v>
      </c>
      <c r="J32" s="48">
        <v>2</v>
      </c>
    </row>
    <row r="33" spans="1:10" s="8" customFormat="1" ht="19.5" customHeight="1">
      <c r="A33" s="9">
        <f t="shared" si="0"/>
        <v>27</v>
      </c>
      <c r="B33" s="21" t="s">
        <v>329</v>
      </c>
      <c r="C33" s="22" t="s">
        <v>315</v>
      </c>
      <c r="D33" s="12">
        <v>39670</v>
      </c>
      <c r="E33" s="35" t="s">
        <v>1159</v>
      </c>
      <c r="F33" s="35" t="s">
        <v>556</v>
      </c>
      <c r="G33" s="17" t="s">
        <v>900</v>
      </c>
      <c r="H33" s="13"/>
      <c r="I33" s="35" t="s">
        <v>2204</v>
      </c>
      <c r="J33" s="48">
        <v>3</v>
      </c>
    </row>
    <row r="34" spans="1:10" s="8" customFormat="1" ht="19.5" customHeight="1">
      <c r="A34" s="9">
        <f t="shared" si="0"/>
        <v>28</v>
      </c>
      <c r="B34" s="21" t="s">
        <v>314</v>
      </c>
      <c r="C34" s="22" t="s">
        <v>315</v>
      </c>
      <c r="D34" s="12">
        <v>39728</v>
      </c>
      <c r="E34" s="35" t="s">
        <v>1019</v>
      </c>
      <c r="F34" s="35" t="s">
        <v>544</v>
      </c>
      <c r="G34" s="17" t="s">
        <v>2930</v>
      </c>
      <c r="H34" s="13"/>
      <c r="I34" s="35" t="s">
        <v>2204</v>
      </c>
      <c r="J34" s="48">
        <v>2</v>
      </c>
    </row>
    <row r="35" spans="1:10" s="8" customFormat="1" ht="19.5" customHeight="1">
      <c r="A35" s="9">
        <f t="shared" si="0"/>
        <v>29</v>
      </c>
      <c r="B35" s="21" t="s">
        <v>356</v>
      </c>
      <c r="C35" s="22" t="s">
        <v>357</v>
      </c>
      <c r="D35" s="12">
        <v>39566</v>
      </c>
      <c r="E35" s="35" t="s">
        <v>893</v>
      </c>
      <c r="F35" s="35" t="s">
        <v>544</v>
      </c>
      <c r="G35" s="17" t="s">
        <v>1182</v>
      </c>
      <c r="H35" s="13" t="s">
        <v>567</v>
      </c>
      <c r="I35" s="35" t="s">
        <v>2204</v>
      </c>
      <c r="J35" s="48">
        <v>2</v>
      </c>
    </row>
    <row r="36" spans="1:10" s="8" customFormat="1" ht="19.5" customHeight="1">
      <c r="A36" s="9">
        <f t="shared" si="0"/>
        <v>30</v>
      </c>
      <c r="B36" s="21" t="s">
        <v>297</v>
      </c>
      <c r="C36" s="22" t="s">
        <v>298</v>
      </c>
      <c r="D36" s="12">
        <v>39676</v>
      </c>
      <c r="E36" s="35" t="s">
        <v>599</v>
      </c>
      <c r="F36" s="35" t="s">
        <v>541</v>
      </c>
      <c r="G36" s="17" t="s">
        <v>1272</v>
      </c>
      <c r="H36" s="13"/>
      <c r="I36" s="35" t="s">
        <v>2208</v>
      </c>
      <c r="J36" s="48">
        <v>3</v>
      </c>
    </row>
    <row r="37" spans="1:10" s="8" customFormat="1" ht="19.5" customHeight="1">
      <c r="A37" s="9">
        <f t="shared" si="0"/>
        <v>31</v>
      </c>
      <c r="B37" s="26" t="s">
        <v>1173</v>
      </c>
      <c r="C37" s="27" t="s">
        <v>1174</v>
      </c>
      <c r="D37" s="15">
        <v>39795</v>
      </c>
      <c r="E37" s="37" t="s">
        <v>1175</v>
      </c>
      <c r="F37" s="37" t="s">
        <v>556</v>
      </c>
      <c r="G37" s="38" t="s">
        <v>1176</v>
      </c>
      <c r="H37" s="16"/>
      <c r="I37" s="241" t="s">
        <v>3426</v>
      </c>
      <c r="J37" s="48">
        <v>2</v>
      </c>
    </row>
    <row r="38" spans="1:10" s="8" customFormat="1" ht="19.5" customHeight="1">
      <c r="A38" s="9">
        <f t="shared" si="0"/>
        <v>32</v>
      </c>
      <c r="B38" s="21" t="s">
        <v>374</v>
      </c>
      <c r="C38" s="22" t="s">
        <v>19</v>
      </c>
      <c r="D38" s="12">
        <v>37641</v>
      </c>
      <c r="E38" s="35" t="s">
        <v>705</v>
      </c>
      <c r="F38" s="35" t="s">
        <v>541</v>
      </c>
      <c r="G38" s="17" t="s">
        <v>960</v>
      </c>
      <c r="H38" s="13"/>
      <c r="I38" s="35" t="s">
        <v>2204</v>
      </c>
      <c r="J38" s="48">
        <v>2</v>
      </c>
    </row>
    <row r="39" spans="1:10" s="8" customFormat="1" ht="19.5" customHeight="1">
      <c r="A39" s="9">
        <f t="shared" si="0"/>
        <v>33</v>
      </c>
      <c r="B39" s="21" t="s">
        <v>1337</v>
      </c>
      <c r="C39" s="22" t="s">
        <v>363</v>
      </c>
      <c r="D39" s="12" t="s">
        <v>1341</v>
      </c>
      <c r="E39" s="35" t="s">
        <v>596</v>
      </c>
      <c r="F39" s="35" t="s">
        <v>544</v>
      </c>
      <c r="G39" s="17" t="s">
        <v>2731</v>
      </c>
      <c r="H39" s="13"/>
      <c r="I39" s="35" t="s">
        <v>2204</v>
      </c>
      <c r="J39" s="48">
        <v>2</v>
      </c>
    </row>
    <row r="40" spans="1:10" s="8" customFormat="1" ht="19.5" customHeight="1">
      <c r="A40" s="9">
        <f t="shared" si="0"/>
        <v>34</v>
      </c>
      <c r="B40" s="21" t="s">
        <v>538</v>
      </c>
      <c r="C40" s="22" t="s">
        <v>183</v>
      </c>
      <c r="D40" s="12">
        <v>39569</v>
      </c>
      <c r="E40" s="35" t="s">
        <v>599</v>
      </c>
      <c r="F40" s="35" t="s">
        <v>541</v>
      </c>
      <c r="G40" s="17" t="s">
        <v>866</v>
      </c>
      <c r="H40" s="17"/>
      <c r="I40" s="50" t="s">
        <v>2204</v>
      </c>
      <c r="J40" s="48"/>
    </row>
    <row r="41" spans="1:10" s="8" customFormat="1" ht="19.5" customHeight="1">
      <c r="A41" s="9">
        <f t="shared" si="0"/>
        <v>35</v>
      </c>
      <c r="B41" s="21" t="s">
        <v>536</v>
      </c>
      <c r="C41" s="22" t="s">
        <v>537</v>
      </c>
      <c r="D41" s="12">
        <v>39813</v>
      </c>
      <c r="E41" s="35" t="s">
        <v>868</v>
      </c>
      <c r="F41" s="35" t="s">
        <v>541</v>
      </c>
      <c r="G41" s="17" t="s">
        <v>865</v>
      </c>
      <c r="H41" s="17"/>
      <c r="I41" s="50" t="s">
        <v>2204</v>
      </c>
      <c r="J41" s="48"/>
    </row>
    <row r="42" spans="1:10" s="8" customFormat="1" ht="19.5" customHeight="1">
      <c r="A42" s="9">
        <f t="shared" si="0"/>
        <v>36</v>
      </c>
      <c r="B42" s="21" t="s">
        <v>358</v>
      </c>
      <c r="C42" s="22" t="s">
        <v>257</v>
      </c>
      <c r="D42" s="12">
        <v>37493</v>
      </c>
      <c r="E42" s="35" t="s">
        <v>1162</v>
      </c>
      <c r="F42" s="35" t="s">
        <v>549</v>
      </c>
      <c r="G42" s="17" t="s">
        <v>923</v>
      </c>
      <c r="H42" s="13"/>
      <c r="I42" s="35" t="s">
        <v>2204</v>
      </c>
      <c r="J42" s="48"/>
    </row>
    <row r="43" spans="1:10" s="8" customFormat="1" ht="19.5" customHeight="1">
      <c r="A43" s="9">
        <f t="shared" si="0"/>
        <v>37</v>
      </c>
      <c r="B43" s="21" t="s">
        <v>344</v>
      </c>
      <c r="C43" s="22" t="s">
        <v>151</v>
      </c>
      <c r="D43" s="12">
        <v>38786</v>
      </c>
      <c r="E43" s="35" t="s">
        <v>926</v>
      </c>
      <c r="F43" s="35" t="s">
        <v>556</v>
      </c>
      <c r="G43" s="17" t="s">
        <v>927</v>
      </c>
      <c r="H43" s="13" t="s">
        <v>578</v>
      </c>
      <c r="I43" s="35" t="s">
        <v>2204</v>
      </c>
      <c r="J43" s="48">
        <v>1</v>
      </c>
    </row>
    <row r="44" spans="1:10" s="8" customFormat="1" ht="19.5" customHeight="1">
      <c r="A44" s="9">
        <f t="shared" si="0"/>
        <v>38</v>
      </c>
      <c r="B44" s="21" t="s">
        <v>260</v>
      </c>
      <c r="C44" s="22" t="s">
        <v>259</v>
      </c>
      <c r="D44" s="12">
        <v>39642</v>
      </c>
      <c r="E44" s="35" t="s">
        <v>637</v>
      </c>
      <c r="F44" s="35" t="s">
        <v>541</v>
      </c>
      <c r="G44" s="17" t="s">
        <v>1165</v>
      </c>
      <c r="H44" s="13"/>
      <c r="I44" s="35" t="s">
        <v>2204</v>
      </c>
      <c r="J44" s="48">
        <v>1</v>
      </c>
    </row>
    <row r="45" spans="1:10" s="8" customFormat="1" ht="19.5" customHeight="1">
      <c r="A45" s="9">
        <f t="shared" si="0"/>
        <v>39</v>
      </c>
      <c r="B45" s="21" t="s">
        <v>1422</v>
      </c>
      <c r="C45" s="22" t="s">
        <v>259</v>
      </c>
      <c r="D45" s="12">
        <v>39601</v>
      </c>
      <c r="E45" s="35" t="s">
        <v>579</v>
      </c>
      <c r="F45" s="35" t="s">
        <v>541</v>
      </c>
      <c r="G45" s="17" t="s">
        <v>931</v>
      </c>
      <c r="H45" s="13"/>
      <c r="I45" s="35" t="s">
        <v>2204</v>
      </c>
      <c r="J45" s="48">
        <v>1</v>
      </c>
    </row>
    <row r="46" spans="1:10" s="8" customFormat="1" ht="19.5" customHeight="1">
      <c r="A46" s="9">
        <f t="shared" si="0"/>
        <v>40</v>
      </c>
      <c r="B46" s="21" t="s">
        <v>285</v>
      </c>
      <c r="C46" s="22" t="s">
        <v>259</v>
      </c>
      <c r="D46" s="12">
        <v>39569</v>
      </c>
      <c r="E46" s="35" t="s">
        <v>691</v>
      </c>
      <c r="F46" s="35" t="s">
        <v>541</v>
      </c>
      <c r="G46" s="17" t="s">
        <v>930</v>
      </c>
      <c r="H46" s="13"/>
      <c r="I46" s="35" t="s">
        <v>2204</v>
      </c>
      <c r="J46" s="48">
        <v>1</v>
      </c>
    </row>
    <row r="47" spans="1:10" s="8" customFormat="1" ht="19.5" customHeight="1">
      <c r="A47" s="9">
        <f t="shared" si="0"/>
        <v>41</v>
      </c>
      <c r="B47" s="10" t="s">
        <v>343</v>
      </c>
      <c r="C47" s="22" t="s">
        <v>287</v>
      </c>
      <c r="D47" s="12">
        <v>39689</v>
      </c>
      <c r="E47" s="35" t="s">
        <v>540</v>
      </c>
      <c r="F47" s="35" t="s">
        <v>541</v>
      </c>
      <c r="G47" s="17" t="s">
        <v>933</v>
      </c>
      <c r="H47" s="13"/>
      <c r="I47" s="35" t="s">
        <v>2204</v>
      </c>
      <c r="J47" s="48">
        <v>1</v>
      </c>
    </row>
    <row r="48" spans="1:10" s="8" customFormat="1" ht="19.5" customHeight="1">
      <c r="A48" s="9">
        <f t="shared" si="0"/>
        <v>42</v>
      </c>
      <c r="B48" s="21" t="s">
        <v>289</v>
      </c>
      <c r="C48" s="22" t="s">
        <v>290</v>
      </c>
      <c r="D48" s="12">
        <v>39574</v>
      </c>
      <c r="E48" s="35" t="s">
        <v>647</v>
      </c>
      <c r="F48" s="35" t="s">
        <v>541</v>
      </c>
      <c r="G48" s="17" t="s">
        <v>938</v>
      </c>
      <c r="H48" s="13"/>
      <c r="I48" s="35" t="s">
        <v>2204</v>
      </c>
      <c r="J48" s="48">
        <v>1</v>
      </c>
    </row>
    <row r="49" spans="1:14" s="8" customFormat="1" ht="19.5" customHeight="1">
      <c r="A49" s="9">
        <f t="shared" si="0"/>
        <v>43</v>
      </c>
      <c r="B49" s="21" t="s">
        <v>343</v>
      </c>
      <c r="C49" s="22" t="s">
        <v>290</v>
      </c>
      <c r="D49" s="12">
        <v>39688</v>
      </c>
      <c r="E49" s="35" t="s">
        <v>947</v>
      </c>
      <c r="F49" s="35" t="s">
        <v>541</v>
      </c>
      <c r="G49" s="17" t="s">
        <v>941</v>
      </c>
      <c r="H49" s="13"/>
      <c r="I49" s="35" t="s">
        <v>2208</v>
      </c>
      <c r="J49" s="48">
        <v>1</v>
      </c>
    </row>
    <row r="50" spans="1:14" s="8" customFormat="1" ht="19.5" customHeight="1">
      <c r="A50" s="9">
        <f t="shared" si="0"/>
        <v>44</v>
      </c>
      <c r="B50" s="21" t="s">
        <v>280</v>
      </c>
      <c r="C50" s="22" t="s">
        <v>281</v>
      </c>
      <c r="D50" s="12">
        <v>39299</v>
      </c>
      <c r="E50" s="35" t="s">
        <v>714</v>
      </c>
      <c r="F50" s="35" t="s">
        <v>541</v>
      </c>
      <c r="G50" s="17" t="s">
        <v>942</v>
      </c>
      <c r="H50" s="13"/>
      <c r="I50" s="35" t="s">
        <v>3000</v>
      </c>
      <c r="J50" s="48">
        <v>1</v>
      </c>
    </row>
    <row r="51" spans="1:14" s="8" customFormat="1" ht="19.5" customHeight="1">
      <c r="A51" s="9">
        <f t="shared" si="0"/>
        <v>45</v>
      </c>
      <c r="B51" s="21" t="s">
        <v>334</v>
      </c>
      <c r="C51" s="22" t="s">
        <v>335</v>
      </c>
      <c r="D51" s="12">
        <v>39417</v>
      </c>
      <c r="E51" s="35" t="s">
        <v>943</v>
      </c>
      <c r="F51" s="35" t="s">
        <v>556</v>
      </c>
      <c r="G51" s="17" t="s">
        <v>1171</v>
      </c>
      <c r="H51" s="13"/>
      <c r="I51" s="35" t="s">
        <v>2204</v>
      </c>
      <c r="J51" s="8" t="str">
        <f>PROPER(B51)</f>
        <v xml:space="preserve">Lâm Thị Hải </v>
      </c>
      <c r="K51" s="8" t="str">
        <f>PROPER(C51)</f>
        <v>Yến</v>
      </c>
    </row>
    <row r="52" spans="1:14" s="8" customFormat="1" ht="19.5" customHeight="1">
      <c r="A52" s="9">
        <f t="shared" si="0"/>
        <v>46</v>
      </c>
      <c r="B52" s="21" t="s">
        <v>2265</v>
      </c>
      <c r="C52" s="22" t="s">
        <v>318</v>
      </c>
      <c r="D52" s="12">
        <v>39706</v>
      </c>
      <c r="E52" s="35" t="s">
        <v>681</v>
      </c>
      <c r="F52" s="35" t="s">
        <v>544</v>
      </c>
      <c r="G52" s="17" t="s">
        <v>3355</v>
      </c>
      <c r="H52" s="13" t="s">
        <v>3349</v>
      </c>
      <c r="I52" s="35" t="s">
        <v>2204</v>
      </c>
      <c r="J52" s="8" t="str">
        <f t="shared" ref="J52:J53" si="1">PROPER(B52)</f>
        <v>Nguyễn Thị Ngọc</v>
      </c>
      <c r="K52" s="8" t="str">
        <f t="shared" ref="K52:K53" si="2">PROPER(C52)</f>
        <v>Quyên</v>
      </c>
    </row>
    <row r="53" spans="1:14">
      <c r="J53" s="8" t="str">
        <f t="shared" si="1"/>
        <v/>
      </c>
      <c r="K53" s="8" t="str">
        <f t="shared" si="2"/>
        <v/>
      </c>
      <c r="N53" s="1">
        <f>36+53+32</f>
        <v>121</v>
      </c>
    </row>
    <row r="57" spans="1:14">
      <c r="K57" s="1">
        <f>31+53+36</f>
        <v>120</v>
      </c>
    </row>
  </sheetData>
  <sortState ref="B7:H51">
    <sortCondition ref="C7:C51"/>
  </sortState>
  <mergeCells count="8">
    <mergeCell ref="B6:C6"/>
    <mergeCell ref="E6:F6"/>
    <mergeCell ref="A1:D1"/>
    <mergeCell ref="E1:H1"/>
    <mergeCell ref="A2:D2"/>
    <mergeCell ref="E2:H2"/>
    <mergeCell ref="A4:H4"/>
    <mergeCell ref="A5:H5"/>
  </mergeCells>
  <pageMargins left="0.2" right="0.2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opLeftCell="A34" workbookViewId="0">
      <selection activeCell="B7" sqref="B7:D48"/>
    </sheetView>
  </sheetViews>
  <sheetFormatPr defaultRowHeight="15"/>
  <cols>
    <col min="1" max="1" width="5.28515625" style="1" customWidth="1"/>
    <col min="2" max="2" width="20.140625" style="1" customWidth="1"/>
    <col min="3" max="3" width="8.28515625" style="1" customWidth="1"/>
    <col min="4" max="4" width="9.85546875" style="1" customWidth="1"/>
    <col min="5" max="5" width="21.7109375" style="1" customWidth="1"/>
    <col min="6" max="6" width="14.85546875" style="1" customWidth="1"/>
    <col min="7" max="7" width="12.42578125" style="1" customWidth="1"/>
    <col min="8" max="8" width="19.140625" style="1" customWidth="1"/>
    <col min="9" max="9" width="32.28515625" style="156" customWidth="1"/>
    <col min="10" max="10" width="18.5703125" style="42" customWidth="1"/>
    <col min="11" max="16384" width="9.140625" style="1"/>
  </cols>
  <sheetData>
    <row r="1" spans="1:10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  <c r="I1" s="166"/>
    </row>
    <row r="2" spans="1:10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  <c r="I2" s="166"/>
    </row>
    <row r="3" spans="1:10" ht="15.75" customHeight="1">
      <c r="A3" s="2"/>
      <c r="B3" s="3"/>
      <c r="C3" s="3"/>
      <c r="D3" s="3"/>
    </row>
    <row r="4" spans="1:10" ht="15.75" customHeight="1">
      <c r="A4" s="308" t="s">
        <v>10</v>
      </c>
      <c r="B4" s="308"/>
      <c r="C4" s="308"/>
      <c r="D4" s="308"/>
      <c r="E4" s="308"/>
      <c r="F4" s="308"/>
      <c r="G4" s="308"/>
      <c r="H4" s="308"/>
      <c r="I4" s="167"/>
    </row>
    <row r="5" spans="1:10" s="4" customFormat="1" ht="23.25" customHeight="1">
      <c r="A5" s="309" t="s">
        <v>1301</v>
      </c>
      <c r="B5" s="309"/>
      <c r="C5" s="309"/>
      <c r="D5" s="309"/>
      <c r="E5" s="309"/>
      <c r="F5" s="309"/>
      <c r="G5" s="309"/>
      <c r="H5" s="309"/>
      <c r="I5" s="168"/>
      <c r="J5" s="47"/>
    </row>
    <row r="6" spans="1:10" s="8" customFormat="1" ht="45.75" customHeight="1">
      <c r="A6" s="5" t="s">
        <v>4</v>
      </c>
      <c r="B6" s="302" t="s">
        <v>5</v>
      </c>
      <c r="C6" s="303"/>
      <c r="D6" s="6" t="s">
        <v>6</v>
      </c>
      <c r="E6" s="304" t="s">
        <v>11</v>
      </c>
      <c r="F6" s="305"/>
      <c r="G6" s="20" t="s">
        <v>226</v>
      </c>
      <c r="H6" s="20" t="s">
        <v>186</v>
      </c>
      <c r="I6" s="6" t="s">
        <v>2219</v>
      </c>
      <c r="J6" s="48"/>
    </row>
    <row r="7" spans="1:10" s="8" customFormat="1" ht="19.5" customHeight="1">
      <c r="A7" s="9">
        <f t="shared" ref="A7:A48" si="0">ROW()-6</f>
        <v>1</v>
      </c>
      <c r="B7" s="21"/>
      <c r="C7" s="22" t="s">
        <v>386</v>
      </c>
      <c r="D7" s="12">
        <v>39511</v>
      </c>
      <c r="E7" s="35" t="s">
        <v>2736</v>
      </c>
      <c r="F7" s="35" t="s">
        <v>556</v>
      </c>
      <c r="G7" s="17" t="s">
        <v>2737</v>
      </c>
      <c r="H7" s="13"/>
      <c r="I7" s="35" t="s">
        <v>2204</v>
      </c>
      <c r="J7" s="48">
        <v>3</v>
      </c>
    </row>
    <row r="8" spans="1:10" s="8" customFormat="1" ht="19.5" customHeight="1">
      <c r="A8" s="9">
        <f t="shared" si="0"/>
        <v>2</v>
      </c>
      <c r="B8" s="21" t="s">
        <v>305</v>
      </c>
      <c r="C8" s="22" t="s">
        <v>70</v>
      </c>
      <c r="D8" s="12">
        <v>39509</v>
      </c>
      <c r="E8" s="35" t="s">
        <v>917</v>
      </c>
      <c r="F8" s="35" t="s">
        <v>544</v>
      </c>
      <c r="G8" s="17" t="s">
        <v>1271</v>
      </c>
      <c r="H8" s="13" t="s">
        <v>1518</v>
      </c>
      <c r="I8" s="35" t="s">
        <v>2204</v>
      </c>
      <c r="J8" s="48">
        <v>3</v>
      </c>
    </row>
    <row r="9" spans="1:10" s="8" customFormat="1" ht="19.5" customHeight="1">
      <c r="A9" s="9">
        <f t="shared" si="0"/>
        <v>3</v>
      </c>
      <c r="B9" s="21" t="s">
        <v>1179</v>
      </c>
      <c r="C9" s="22" t="s">
        <v>15</v>
      </c>
      <c r="D9" s="12">
        <v>39743</v>
      </c>
      <c r="E9" s="35" t="s">
        <v>1180</v>
      </c>
      <c r="F9" s="35" t="s">
        <v>544</v>
      </c>
      <c r="G9" s="17" t="s">
        <v>1181</v>
      </c>
      <c r="H9" s="13"/>
      <c r="I9" s="35" t="s">
        <v>2204</v>
      </c>
      <c r="J9" s="48">
        <v>3</v>
      </c>
    </row>
    <row r="10" spans="1:10" s="8" customFormat="1" ht="19.5" customHeight="1">
      <c r="A10" s="9">
        <f t="shared" si="0"/>
        <v>4</v>
      </c>
      <c r="B10" s="21" t="s">
        <v>644</v>
      </c>
      <c r="C10" s="22" t="s">
        <v>1146</v>
      </c>
      <c r="D10" s="12" t="s">
        <v>1143</v>
      </c>
      <c r="E10" s="35" t="s">
        <v>1374</v>
      </c>
      <c r="F10" s="35" t="s">
        <v>556</v>
      </c>
      <c r="G10" s="17" t="s">
        <v>1375</v>
      </c>
      <c r="H10" s="17"/>
      <c r="I10" s="50" t="s">
        <v>2204</v>
      </c>
      <c r="J10" s="48">
        <v>3</v>
      </c>
    </row>
    <row r="11" spans="1:10" s="8" customFormat="1" ht="19.5" customHeight="1">
      <c r="A11" s="9">
        <f t="shared" si="0"/>
        <v>5</v>
      </c>
      <c r="B11" s="21" t="s">
        <v>360</v>
      </c>
      <c r="C11" s="22" t="s">
        <v>361</v>
      </c>
      <c r="D11" s="12">
        <v>39521</v>
      </c>
      <c r="E11" s="35" t="s">
        <v>787</v>
      </c>
      <c r="F11" s="35" t="s">
        <v>541</v>
      </c>
      <c r="G11" s="17" t="s">
        <v>858</v>
      </c>
      <c r="H11" s="13"/>
      <c r="I11" s="35" t="s">
        <v>2204</v>
      </c>
      <c r="J11" s="48">
        <v>3</v>
      </c>
    </row>
    <row r="12" spans="1:10" s="8" customFormat="1" ht="19.5" customHeight="1">
      <c r="A12" s="9">
        <f t="shared" si="0"/>
        <v>6</v>
      </c>
      <c r="B12" s="21" t="s">
        <v>1478</v>
      </c>
      <c r="C12" s="22" t="s">
        <v>1479</v>
      </c>
      <c r="D12" s="12" t="s">
        <v>1482</v>
      </c>
      <c r="E12" s="35" t="s">
        <v>582</v>
      </c>
      <c r="F12" s="35" t="s">
        <v>541</v>
      </c>
      <c r="G12" s="17" t="s">
        <v>1754</v>
      </c>
      <c r="H12" s="13"/>
      <c r="I12" s="35" t="s">
        <v>2204</v>
      </c>
      <c r="J12" s="48">
        <v>3</v>
      </c>
    </row>
    <row r="13" spans="1:10" s="8" customFormat="1" ht="19.5" customHeight="1">
      <c r="A13" s="9">
        <f t="shared" si="0"/>
        <v>7</v>
      </c>
      <c r="B13" s="21" t="s">
        <v>373</v>
      </c>
      <c r="C13" s="22" t="s">
        <v>66</v>
      </c>
      <c r="D13" s="12">
        <v>39780</v>
      </c>
      <c r="E13" s="35" t="s">
        <v>705</v>
      </c>
      <c r="F13" s="35" t="s">
        <v>541</v>
      </c>
      <c r="G13" s="17" t="s">
        <v>860</v>
      </c>
      <c r="H13" s="13"/>
      <c r="I13" s="35" t="s">
        <v>2204</v>
      </c>
      <c r="J13" s="48">
        <v>3</v>
      </c>
    </row>
    <row r="14" spans="1:10" s="8" customFormat="1" ht="19.5" customHeight="1">
      <c r="A14" s="9">
        <f t="shared" si="0"/>
        <v>8</v>
      </c>
      <c r="B14" s="21" t="s">
        <v>1111</v>
      </c>
      <c r="C14" s="22" t="s">
        <v>1112</v>
      </c>
      <c r="D14" s="12" t="s">
        <v>1110</v>
      </c>
      <c r="E14" s="35" t="s">
        <v>1113</v>
      </c>
      <c r="F14" s="35" t="s">
        <v>565</v>
      </c>
      <c r="G14" s="17" t="s">
        <v>1386</v>
      </c>
      <c r="H14" s="17"/>
      <c r="I14" s="50" t="s">
        <v>2204</v>
      </c>
      <c r="J14" s="48">
        <v>3</v>
      </c>
    </row>
    <row r="15" spans="1:10" s="8" customFormat="1" ht="19.5" customHeight="1">
      <c r="A15" s="9">
        <f t="shared" si="0"/>
        <v>9</v>
      </c>
      <c r="B15" s="21" t="s">
        <v>1149</v>
      </c>
      <c r="C15" s="22" t="s">
        <v>359</v>
      </c>
      <c r="D15" s="12" t="s">
        <v>1145</v>
      </c>
      <c r="E15" s="35" t="s">
        <v>2232</v>
      </c>
      <c r="F15" s="35" t="s">
        <v>544</v>
      </c>
      <c r="G15" s="17" t="s">
        <v>2735</v>
      </c>
      <c r="H15" s="17"/>
      <c r="I15" s="50" t="s">
        <v>2204</v>
      </c>
      <c r="J15" s="48">
        <v>3</v>
      </c>
    </row>
    <row r="16" spans="1:10" s="8" customFormat="1" ht="19.5" customHeight="1">
      <c r="A16" s="9">
        <f t="shared" si="0"/>
        <v>10</v>
      </c>
      <c r="B16" s="21" t="s">
        <v>353</v>
      </c>
      <c r="C16" s="22" t="s">
        <v>354</v>
      </c>
      <c r="D16" s="12">
        <v>39602</v>
      </c>
      <c r="E16" s="35" t="s">
        <v>870</v>
      </c>
      <c r="F16" s="35" t="s">
        <v>556</v>
      </c>
      <c r="G16" s="17" t="s">
        <v>871</v>
      </c>
      <c r="H16" s="13"/>
      <c r="I16" s="35" t="s">
        <v>2204</v>
      </c>
      <c r="J16" s="48">
        <v>3</v>
      </c>
    </row>
    <row r="17" spans="1:11" s="8" customFormat="1" ht="19.5" customHeight="1">
      <c r="A17" s="9">
        <f t="shared" si="0"/>
        <v>11</v>
      </c>
      <c r="B17" s="21" t="s">
        <v>95</v>
      </c>
      <c r="C17" s="22" t="s">
        <v>205</v>
      </c>
      <c r="D17" s="12">
        <v>39676</v>
      </c>
      <c r="E17" s="35" t="s">
        <v>874</v>
      </c>
      <c r="F17" s="35" t="s">
        <v>541</v>
      </c>
      <c r="G17" s="17" t="s">
        <v>1757</v>
      </c>
      <c r="H17" s="13"/>
      <c r="I17" s="35" t="s">
        <v>2204</v>
      </c>
      <c r="J17" s="48">
        <v>3</v>
      </c>
    </row>
    <row r="18" spans="1:11" s="8" customFormat="1" ht="19.5" customHeight="1">
      <c r="A18" s="9">
        <f t="shared" si="0"/>
        <v>12</v>
      </c>
      <c r="B18" s="21" t="s">
        <v>1476</v>
      </c>
      <c r="C18" s="22" t="s">
        <v>1477</v>
      </c>
      <c r="D18" s="12" t="s">
        <v>1481</v>
      </c>
      <c r="E18" s="35" t="s">
        <v>1755</v>
      </c>
      <c r="F18" s="35" t="s">
        <v>556</v>
      </c>
      <c r="G18" s="17" t="s">
        <v>1756</v>
      </c>
      <c r="H18" s="13"/>
      <c r="I18" s="35" t="s">
        <v>2204</v>
      </c>
      <c r="J18" s="48">
        <v>3</v>
      </c>
    </row>
    <row r="19" spans="1:11" s="8" customFormat="1" ht="19.5" customHeight="1">
      <c r="A19" s="9">
        <f t="shared" si="0"/>
        <v>13</v>
      </c>
      <c r="B19" s="21" t="s">
        <v>1244</v>
      </c>
      <c r="C19" s="22" t="s">
        <v>743</v>
      </c>
      <c r="D19" s="12" t="s">
        <v>1246</v>
      </c>
      <c r="E19" s="35" t="s">
        <v>714</v>
      </c>
      <c r="F19" s="35" t="s">
        <v>541</v>
      </c>
      <c r="G19" s="17" t="s">
        <v>1371</v>
      </c>
      <c r="H19" s="13" t="s">
        <v>578</v>
      </c>
      <c r="I19" s="36" t="s">
        <v>3477</v>
      </c>
      <c r="J19" s="48">
        <v>3</v>
      </c>
    </row>
    <row r="20" spans="1:11" s="8" customFormat="1" ht="19.5" customHeight="1">
      <c r="A20" s="9">
        <f t="shared" si="0"/>
        <v>14</v>
      </c>
      <c r="B20" s="21" t="s">
        <v>274</v>
      </c>
      <c r="C20" s="22" t="s">
        <v>275</v>
      </c>
      <c r="D20" s="12">
        <v>39764</v>
      </c>
      <c r="E20" s="35" t="s">
        <v>874</v>
      </c>
      <c r="F20" s="35" t="s">
        <v>541</v>
      </c>
      <c r="G20" s="17" t="s">
        <v>883</v>
      </c>
      <c r="H20" s="13"/>
      <c r="I20" s="35" t="s">
        <v>2204</v>
      </c>
      <c r="J20" s="48">
        <v>3</v>
      </c>
    </row>
    <row r="21" spans="1:11" s="8" customFormat="1" ht="19.5" customHeight="1">
      <c r="A21" s="9">
        <f t="shared" si="0"/>
        <v>15</v>
      </c>
      <c r="B21" s="21" t="s">
        <v>384</v>
      </c>
      <c r="C21" s="22" t="s">
        <v>262</v>
      </c>
      <c r="D21" s="12">
        <v>39644</v>
      </c>
      <c r="E21" s="35" t="s">
        <v>596</v>
      </c>
      <c r="F21" s="35" t="s">
        <v>544</v>
      </c>
      <c r="G21" s="17" t="s">
        <v>889</v>
      </c>
      <c r="H21" s="13"/>
      <c r="I21" s="35" t="s">
        <v>2204</v>
      </c>
      <c r="J21" s="48">
        <v>3</v>
      </c>
    </row>
    <row r="22" spans="1:11" s="8" customFormat="1" ht="19.5" customHeight="1">
      <c r="A22" s="9">
        <f t="shared" si="0"/>
        <v>16</v>
      </c>
      <c r="B22" s="21" t="s">
        <v>87</v>
      </c>
      <c r="C22" s="22" t="s">
        <v>284</v>
      </c>
      <c r="D22" s="12">
        <v>39708</v>
      </c>
      <c r="E22" s="35" t="s">
        <v>894</v>
      </c>
      <c r="F22" s="35" t="s">
        <v>556</v>
      </c>
      <c r="G22" s="17" t="s">
        <v>891</v>
      </c>
      <c r="H22" s="13"/>
      <c r="I22" s="35" t="s">
        <v>2204</v>
      </c>
      <c r="J22" s="48">
        <v>3</v>
      </c>
      <c r="K22" s="8" t="str">
        <f t="shared" ref="K22:K28" si="1">PROPER(C22)</f>
        <v>Ngân</v>
      </c>
    </row>
    <row r="23" spans="1:11" s="8" customFormat="1" ht="19.5" customHeight="1">
      <c r="A23" s="9">
        <f t="shared" si="0"/>
        <v>17</v>
      </c>
      <c r="B23" s="21" t="s">
        <v>325</v>
      </c>
      <c r="C23" s="22" t="s">
        <v>284</v>
      </c>
      <c r="D23" s="12">
        <v>39772</v>
      </c>
      <c r="E23" s="35" t="s">
        <v>582</v>
      </c>
      <c r="F23" s="35" t="s">
        <v>541</v>
      </c>
      <c r="G23" s="17" t="s">
        <v>892</v>
      </c>
      <c r="H23" s="13"/>
      <c r="I23" s="35" t="s">
        <v>2204</v>
      </c>
      <c r="J23" s="48">
        <v>3</v>
      </c>
      <c r="K23" s="8" t="str">
        <f t="shared" si="1"/>
        <v>Ngân</v>
      </c>
    </row>
    <row r="24" spans="1:11" s="8" customFormat="1" ht="19.5" customHeight="1">
      <c r="A24" s="9">
        <f t="shared" si="0"/>
        <v>18</v>
      </c>
      <c r="B24" s="21" t="s">
        <v>1475</v>
      </c>
      <c r="C24" s="22" t="s">
        <v>331</v>
      </c>
      <c r="D24" s="12">
        <v>39528</v>
      </c>
      <c r="E24" s="35" t="s">
        <v>2734</v>
      </c>
      <c r="F24" s="35" t="s">
        <v>556</v>
      </c>
      <c r="G24" s="17" t="s">
        <v>2733</v>
      </c>
      <c r="H24" s="13"/>
      <c r="I24" s="35" t="s">
        <v>2204</v>
      </c>
      <c r="J24" s="48">
        <v>3</v>
      </c>
      <c r="K24" s="8" t="str">
        <f t="shared" si="1"/>
        <v>Ngọc</v>
      </c>
    </row>
    <row r="25" spans="1:11" s="8" customFormat="1" ht="19.5" customHeight="1">
      <c r="A25" s="9">
        <f t="shared" si="0"/>
        <v>19</v>
      </c>
      <c r="B25" s="21" t="s">
        <v>267</v>
      </c>
      <c r="C25" s="22" t="s">
        <v>216</v>
      </c>
      <c r="D25" s="12">
        <v>39468</v>
      </c>
      <c r="E25" s="35" t="s">
        <v>1156</v>
      </c>
      <c r="F25" s="35" t="s">
        <v>556</v>
      </c>
      <c r="G25" s="17" t="s">
        <v>1372</v>
      </c>
      <c r="H25" s="13"/>
      <c r="I25" s="35" t="s">
        <v>2204</v>
      </c>
      <c r="J25" s="48">
        <v>3</v>
      </c>
      <c r="K25" s="8" t="str">
        <f t="shared" si="1"/>
        <v>Nguyên</v>
      </c>
    </row>
    <row r="26" spans="1:11" s="8" customFormat="1" ht="19.5" customHeight="1">
      <c r="A26" s="9">
        <f t="shared" si="0"/>
        <v>20</v>
      </c>
      <c r="B26" s="21" t="s">
        <v>369</v>
      </c>
      <c r="C26" s="22" t="s">
        <v>315</v>
      </c>
      <c r="D26" s="12">
        <v>38182</v>
      </c>
      <c r="E26" s="35" t="s">
        <v>885</v>
      </c>
      <c r="F26" s="35" t="s">
        <v>541</v>
      </c>
      <c r="G26" s="17" t="s">
        <v>901</v>
      </c>
      <c r="H26" s="13"/>
      <c r="I26" s="35" t="s">
        <v>2207</v>
      </c>
      <c r="J26" s="48">
        <v>3</v>
      </c>
      <c r="K26" s="8" t="str">
        <f t="shared" si="1"/>
        <v>Nhi</v>
      </c>
    </row>
    <row r="27" spans="1:11" s="8" customFormat="1" ht="19.5" customHeight="1">
      <c r="A27" s="9">
        <f t="shared" si="0"/>
        <v>21</v>
      </c>
      <c r="B27" s="21" t="s">
        <v>371</v>
      </c>
      <c r="C27" s="22" t="s">
        <v>315</v>
      </c>
      <c r="D27" s="12">
        <v>39684</v>
      </c>
      <c r="E27" s="35" t="s">
        <v>629</v>
      </c>
      <c r="F27" s="35" t="s">
        <v>541</v>
      </c>
      <c r="G27" s="17" t="s">
        <v>902</v>
      </c>
      <c r="H27" s="13" t="s">
        <v>1603</v>
      </c>
      <c r="I27" s="35" t="s">
        <v>2215</v>
      </c>
      <c r="J27" s="48">
        <v>3</v>
      </c>
      <c r="K27" s="8" t="str">
        <f t="shared" si="1"/>
        <v>Nhi</v>
      </c>
    </row>
    <row r="28" spans="1:11" s="8" customFormat="1" ht="19.5" customHeight="1">
      <c r="A28" s="9">
        <f t="shared" si="0"/>
        <v>22</v>
      </c>
      <c r="B28" s="21" t="s">
        <v>328</v>
      </c>
      <c r="C28" s="22" t="s">
        <v>277</v>
      </c>
      <c r="D28" s="12">
        <v>39025</v>
      </c>
      <c r="E28" s="35" t="s">
        <v>904</v>
      </c>
      <c r="F28" s="35" t="s">
        <v>544</v>
      </c>
      <c r="G28" s="17" t="s">
        <v>905</v>
      </c>
      <c r="H28" s="13"/>
      <c r="I28" s="35" t="s">
        <v>2204</v>
      </c>
      <c r="J28" s="48">
        <v>3</v>
      </c>
      <c r="K28" s="8" t="str">
        <f t="shared" si="1"/>
        <v>Như</v>
      </c>
    </row>
    <row r="29" spans="1:11" s="8" customFormat="1" ht="19.5" customHeight="1">
      <c r="A29" s="9">
        <f t="shared" si="0"/>
        <v>23</v>
      </c>
      <c r="B29" s="21" t="s">
        <v>264</v>
      </c>
      <c r="C29" s="22" t="s">
        <v>265</v>
      </c>
      <c r="D29" s="12">
        <v>39738</v>
      </c>
      <c r="E29" s="35" t="s">
        <v>907</v>
      </c>
      <c r="F29" s="35" t="s">
        <v>549</v>
      </c>
      <c r="G29" s="17" t="s">
        <v>906</v>
      </c>
      <c r="H29" s="13"/>
      <c r="I29" s="35" t="s">
        <v>2204</v>
      </c>
      <c r="J29" s="48">
        <v>1</v>
      </c>
    </row>
    <row r="30" spans="1:11" s="8" customFormat="1" ht="19.5" customHeight="1">
      <c r="A30" s="9">
        <f t="shared" si="0"/>
        <v>24</v>
      </c>
      <c r="B30" s="21" t="s">
        <v>370</v>
      </c>
      <c r="C30" s="22" t="s">
        <v>97</v>
      </c>
      <c r="D30" s="12">
        <v>39036</v>
      </c>
      <c r="E30" s="35" t="s">
        <v>911</v>
      </c>
      <c r="F30" s="35" t="s">
        <v>553</v>
      </c>
      <c r="G30" s="17" t="s">
        <v>910</v>
      </c>
      <c r="H30" s="13"/>
      <c r="I30" s="35" t="s">
        <v>2293</v>
      </c>
      <c r="J30" s="48">
        <v>1</v>
      </c>
    </row>
    <row r="31" spans="1:11" s="8" customFormat="1" ht="19.5" customHeight="1">
      <c r="A31" s="9">
        <f t="shared" si="0"/>
        <v>25</v>
      </c>
      <c r="B31" s="21" t="s">
        <v>263</v>
      </c>
      <c r="C31" s="22" t="s">
        <v>97</v>
      </c>
      <c r="D31" s="12">
        <v>39048</v>
      </c>
      <c r="E31" s="35" t="s">
        <v>1376</v>
      </c>
      <c r="F31" s="35" t="s">
        <v>556</v>
      </c>
      <c r="G31" s="17" t="s">
        <v>1378</v>
      </c>
      <c r="H31" s="13"/>
      <c r="I31" s="35" t="s">
        <v>2204</v>
      </c>
      <c r="J31" s="48">
        <v>1</v>
      </c>
    </row>
    <row r="32" spans="1:11" s="8" customFormat="1" ht="19.5" customHeight="1">
      <c r="A32" s="9">
        <f t="shared" si="0"/>
        <v>26</v>
      </c>
      <c r="B32" s="21" t="s">
        <v>317</v>
      </c>
      <c r="C32" s="22" t="s">
        <v>318</v>
      </c>
      <c r="D32" s="12">
        <v>39553</v>
      </c>
      <c r="E32" s="35" t="s">
        <v>1389</v>
      </c>
      <c r="F32" s="35" t="s">
        <v>541</v>
      </c>
      <c r="G32" s="17" t="s">
        <v>1390</v>
      </c>
      <c r="H32" s="13"/>
      <c r="I32" s="35" t="s">
        <v>3476</v>
      </c>
      <c r="J32" s="48">
        <v>1</v>
      </c>
    </row>
    <row r="33" spans="1:13" s="8" customFormat="1" ht="19.5" customHeight="1">
      <c r="A33" s="9">
        <f t="shared" si="0"/>
        <v>27</v>
      </c>
      <c r="B33" s="21" t="s">
        <v>362</v>
      </c>
      <c r="C33" s="22" t="s">
        <v>363</v>
      </c>
      <c r="D33" s="12">
        <v>39792</v>
      </c>
      <c r="E33" s="35" t="s">
        <v>618</v>
      </c>
      <c r="F33" s="35" t="s">
        <v>541</v>
      </c>
      <c r="G33" s="17" t="s">
        <v>912</v>
      </c>
      <c r="H33" s="13"/>
      <c r="I33" s="35" t="s">
        <v>2204</v>
      </c>
      <c r="J33" s="48">
        <v>2</v>
      </c>
    </row>
    <row r="34" spans="1:13" s="8" customFormat="1" ht="19.5" customHeight="1">
      <c r="A34" s="9">
        <f t="shared" si="0"/>
        <v>28</v>
      </c>
      <c r="B34" s="21" t="s">
        <v>375</v>
      </c>
      <c r="C34" s="22" t="s">
        <v>376</v>
      </c>
      <c r="D34" s="12">
        <v>39810</v>
      </c>
      <c r="E34" s="35" t="s">
        <v>870</v>
      </c>
      <c r="F34" s="35" t="s">
        <v>556</v>
      </c>
      <c r="G34" s="17" t="s">
        <v>913</v>
      </c>
      <c r="H34" s="13"/>
      <c r="I34" s="35" t="s">
        <v>2204</v>
      </c>
      <c r="J34" s="48">
        <v>2</v>
      </c>
    </row>
    <row r="35" spans="1:13" s="8" customFormat="1" ht="19.5" customHeight="1">
      <c r="A35" s="9">
        <f t="shared" si="0"/>
        <v>29</v>
      </c>
      <c r="B35" s="21" t="s">
        <v>367</v>
      </c>
      <c r="C35" s="22" t="s">
        <v>368</v>
      </c>
      <c r="D35" s="12">
        <v>39763</v>
      </c>
      <c r="E35" s="35" t="s">
        <v>1045</v>
      </c>
      <c r="F35" s="35" t="s">
        <v>553</v>
      </c>
      <c r="G35" s="17" t="s">
        <v>1046</v>
      </c>
      <c r="H35" s="13"/>
      <c r="I35" s="35" t="s">
        <v>2204</v>
      </c>
      <c r="J35" s="48">
        <v>2</v>
      </c>
    </row>
    <row r="36" spans="1:13" s="8" customFormat="1" ht="19.5" customHeight="1">
      <c r="A36" s="9">
        <f t="shared" si="0"/>
        <v>30</v>
      </c>
      <c r="B36" s="21" t="s">
        <v>348</v>
      </c>
      <c r="C36" s="22" t="s">
        <v>349</v>
      </c>
      <c r="D36" s="12">
        <v>39554</v>
      </c>
      <c r="E36" s="35" t="s">
        <v>611</v>
      </c>
      <c r="F36" s="35" t="s">
        <v>541</v>
      </c>
      <c r="G36" s="17" t="s">
        <v>915</v>
      </c>
      <c r="H36" s="13"/>
      <c r="I36" s="35" t="s">
        <v>2204</v>
      </c>
      <c r="J36" s="48">
        <v>2</v>
      </c>
    </row>
    <row r="37" spans="1:13" s="8" customFormat="1" ht="19.5" customHeight="1">
      <c r="A37" s="9">
        <f t="shared" si="0"/>
        <v>31</v>
      </c>
      <c r="B37" s="21" t="s">
        <v>273</v>
      </c>
      <c r="C37" s="22" t="s">
        <v>183</v>
      </c>
      <c r="D37" s="12">
        <v>39749</v>
      </c>
      <c r="E37" s="35" t="s">
        <v>554</v>
      </c>
      <c r="F37" s="35" t="s">
        <v>544</v>
      </c>
      <c r="G37" s="17" t="s">
        <v>1170</v>
      </c>
      <c r="H37" s="13"/>
      <c r="I37" s="35" t="s">
        <v>2204</v>
      </c>
      <c r="J37" s="48">
        <v>2</v>
      </c>
    </row>
    <row r="38" spans="1:13" s="8" customFormat="1" ht="19.5" customHeight="1">
      <c r="A38" s="9">
        <f t="shared" si="0"/>
        <v>32</v>
      </c>
      <c r="B38" s="21" t="s">
        <v>382</v>
      </c>
      <c r="C38" s="22" t="s">
        <v>383</v>
      </c>
      <c r="D38" s="12">
        <v>39645</v>
      </c>
      <c r="E38" s="35" t="s">
        <v>918</v>
      </c>
      <c r="F38" s="35" t="s">
        <v>541</v>
      </c>
      <c r="G38" s="17" t="s">
        <v>921</v>
      </c>
      <c r="H38" s="13"/>
      <c r="I38" s="35" t="s">
        <v>3469</v>
      </c>
      <c r="J38" s="48">
        <v>2</v>
      </c>
    </row>
    <row r="39" spans="1:13" s="8" customFormat="1" ht="19.5" customHeight="1">
      <c r="A39" s="9">
        <f t="shared" si="0"/>
        <v>33</v>
      </c>
      <c r="B39" s="21" t="s">
        <v>381</v>
      </c>
      <c r="C39" s="22" t="s">
        <v>257</v>
      </c>
      <c r="D39" s="12">
        <v>39758</v>
      </c>
      <c r="E39" s="35" t="s">
        <v>918</v>
      </c>
      <c r="F39" s="35" t="s">
        <v>541</v>
      </c>
      <c r="G39" s="17" t="s">
        <v>924</v>
      </c>
      <c r="H39" s="13"/>
      <c r="I39" s="35" t="s">
        <v>2215</v>
      </c>
      <c r="J39" s="48"/>
    </row>
    <row r="40" spans="1:13" s="8" customFormat="1" ht="19.5" customHeight="1">
      <c r="A40" s="9">
        <f t="shared" si="0"/>
        <v>34</v>
      </c>
      <c r="B40" s="21" t="s">
        <v>260</v>
      </c>
      <c r="C40" s="22" t="s">
        <v>296</v>
      </c>
      <c r="D40" s="12">
        <v>39802</v>
      </c>
      <c r="E40" s="35" t="s">
        <v>626</v>
      </c>
      <c r="F40" s="35" t="s">
        <v>541</v>
      </c>
      <c r="G40" s="17" t="s">
        <v>1373</v>
      </c>
      <c r="H40" s="13"/>
      <c r="I40" s="35" t="s">
        <v>3000</v>
      </c>
      <c r="J40" s="48" t="str">
        <f>PROPER(B40)</f>
        <v xml:space="preserve">Nguyễn Thị Thu </v>
      </c>
      <c r="K40" s="8" t="str">
        <f>PROPER(C40)</f>
        <v>Thủy</v>
      </c>
    </row>
    <row r="41" spans="1:13" s="8" customFormat="1" ht="19.5" customHeight="1">
      <c r="A41" s="9">
        <f t="shared" si="0"/>
        <v>35</v>
      </c>
      <c r="B41" s="21" t="s">
        <v>379</v>
      </c>
      <c r="C41" s="22" t="s">
        <v>380</v>
      </c>
      <c r="D41" s="12">
        <v>39465</v>
      </c>
      <c r="E41" s="35" t="s">
        <v>787</v>
      </c>
      <c r="F41" s="35" t="s">
        <v>541</v>
      </c>
      <c r="G41" s="17" t="s">
        <v>1017</v>
      </c>
      <c r="H41" s="13" t="s">
        <v>567</v>
      </c>
      <c r="I41" s="35" t="s">
        <v>2204</v>
      </c>
      <c r="J41" s="48" t="str">
        <f t="shared" ref="J41:J42" si="2">PROPER(B41)</f>
        <v xml:space="preserve">Hồ Nguyên </v>
      </c>
      <c r="K41" s="8" t="str">
        <f t="shared" ref="K41:K42" si="3">PROPER(C41)</f>
        <v>Thy</v>
      </c>
    </row>
    <row r="42" spans="1:13" s="8" customFormat="1" ht="19.5" customHeight="1">
      <c r="A42" s="9">
        <f t="shared" si="0"/>
        <v>36</v>
      </c>
      <c r="B42" s="21" t="s">
        <v>326</v>
      </c>
      <c r="C42" s="22" t="s">
        <v>327</v>
      </c>
      <c r="D42" s="12">
        <v>39658</v>
      </c>
      <c r="E42" s="12" t="s">
        <v>626</v>
      </c>
      <c r="F42" s="35" t="s">
        <v>541</v>
      </c>
      <c r="G42" s="17" t="s">
        <v>1391</v>
      </c>
      <c r="H42" s="13"/>
      <c r="I42" s="35" t="s">
        <v>2204</v>
      </c>
      <c r="J42" s="48" t="str">
        <f t="shared" si="2"/>
        <v xml:space="preserve">Lê Thị Huyền </v>
      </c>
      <c r="K42" s="8" t="str">
        <f t="shared" si="3"/>
        <v>Trân</v>
      </c>
    </row>
    <row r="43" spans="1:13" s="8" customFormat="1" ht="19.5" customHeight="1">
      <c r="A43" s="9">
        <f t="shared" si="0"/>
        <v>37</v>
      </c>
      <c r="B43" s="21" t="s">
        <v>251</v>
      </c>
      <c r="C43" s="22" t="s">
        <v>252</v>
      </c>
      <c r="D43" s="12">
        <v>39680</v>
      </c>
      <c r="E43" s="35" t="s">
        <v>547</v>
      </c>
      <c r="F43" s="35" t="s">
        <v>541</v>
      </c>
      <c r="G43" s="17" t="s">
        <v>934</v>
      </c>
      <c r="H43" s="13"/>
      <c r="I43" s="35" t="s">
        <v>2204</v>
      </c>
      <c r="J43" s="48" t="str">
        <f t="shared" ref="J43:J49" si="4">PROPER(B43)</f>
        <v xml:space="preserve">Lê Ngọc Cẩm </v>
      </c>
      <c r="K43" s="8" t="str">
        <f t="shared" ref="K43:K49" si="5">PROPER(C43)</f>
        <v>Tú</v>
      </c>
    </row>
    <row r="44" spans="1:13" s="8" customFormat="1" ht="19.5" customHeight="1">
      <c r="A44" s="9">
        <f t="shared" si="0"/>
        <v>38</v>
      </c>
      <c r="B44" s="21" t="s">
        <v>321</v>
      </c>
      <c r="C44" s="22" t="s">
        <v>322</v>
      </c>
      <c r="D44" s="12">
        <v>39678</v>
      </c>
      <c r="E44" s="35" t="s">
        <v>945</v>
      </c>
      <c r="F44" s="35" t="s">
        <v>541</v>
      </c>
      <c r="G44" s="17" t="s">
        <v>935</v>
      </c>
      <c r="H44" s="13"/>
      <c r="I44" s="35" t="s">
        <v>2204</v>
      </c>
      <c r="J44" s="48" t="str">
        <f t="shared" si="4"/>
        <v xml:space="preserve">Phạm Thị Kim </v>
      </c>
      <c r="K44" s="8" t="str">
        <f t="shared" si="5"/>
        <v>Tuyết</v>
      </c>
    </row>
    <row r="45" spans="1:13" s="8" customFormat="1" ht="19.5" customHeight="1">
      <c r="A45" s="9">
        <f t="shared" si="0"/>
        <v>39</v>
      </c>
      <c r="B45" s="21" t="s">
        <v>320</v>
      </c>
      <c r="C45" s="22" t="s">
        <v>290</v>
      </c>
      <c r="D45" s="12">
        <v>39754</v>
      </c>
      <c r="E45" s="35" t="s">
        <v>945</v>
      </c>
      <c r="F45" s="35" t="s">
        <v>541</v>
      </c>
      <c r="G45" s="17" t="s">
        <v>940</v>
      </c>
      <c r="H45" s="13"/>
      <c r="I45" s="35" t="s">
        <v>2204</v>
      </c>
      <c r="J45" s="48" t="str">
        <f t="shared" si="4"/>
        <v xml:space="preserve">Lê Nhật </v>
      </c>
      <c r="K45" s="8" t="str">
        <f t="shared" si="5"/>
        <v>Vy</v>
      </c>
    </row>
    <row r="46" spans="1:13" ht="21" customHeight="1">
      <c r="A46" s="9">
        <f t="shared" si="0"/>
        <v>40</v>
      </c>
      <c r="B46" s="21" t="s">
        <v>2126</v>
      </c>
      <c r="C46" s="22" t="s">
        <v>327</v>
      </c>
      <c r="D46" s="102" t="s">
        <v>1190</v>
      </c>
      <c r="E46" s="35" t="s">
        <v>547</v>
      </c>
      <c r="F46" s="35" t="s">
        <v>541</v>
      </c>
      <c r="G46" s="17" t="s">
        <v>2898</v>
      </c>
      <c r="H46" s="13" t="s">
        <v>2804</v>
      </c>
      <c r="I46" s="35" t="s">
        <v>2204</v>
      </c>
      <c r="J46" s="48" t="str">
        <f t="shared" si="4"/>
        <v>Hà Bảo</v>
      </c>
      <c r="K46" s="8" t="str">
        <f t="shared" si="5"/>
        <v>Trân</v>
      </c>
    </row>
    <row r="47" spans="1:13" ht="21" customHeight="1">
      <c r="A47" s="9">
        <f t="shared" si="0"/>
        <v>41</v>
      </c>
      <c r="B47" s="21" t="s">
        <v>1128</v>
      </c>
      <c r="C47" s="22" t="s">
        <v>1543</v>
      </c>
      <c r="D47" s="102" t="s">
        <v>2858</v>
      </c>
      <c r="E47" s="35" t="s">
        <v>1464</v>
      </c>
      <c r="F47" s="35" t="s">
        <v>556</v>
      </c>
      <c r="G47" s="17" t="s">
        <v>2971</v>
      </c>
      <c r="H47" s="13" t="s">
        <v>2844</v>
      </c>
      <c r="I47" s="35" t="s">
        <v>2204</v>
      </c>
      <c r="J47" s="48" t="str">
        <f t="shared" si="4"/>
        <v>Nguyễn Quốc</v>
      </c>
      <c r="K47" s="8" t="str">
        <f t="shared" si="5"/>
        <v>Thái</v>
      </c>
    </row>
    <row r="48" spans="1:13" ht="21" customHeight="1">
      <c r="A48" s="9">
        <f t="shared" si="0"/>
        <v>42</v>
      </c>
      <c r="B48" s="21" t="s">
        <v>3180</v>
      </c>
      <c r="C48" s="22" t="s">
        <v>743</v>
      </c>
      <c r="D48" s="242" t="s">
        <v>1535</v>
      </c>
      <c r="E48" s="35" t="s">
        <v>903</v>
      </c>
      <c r="F48" s="35" t="s">
        <v>541</v>
      </c>
      <c r="G48" s="17" t="s">
        <v>3187</v>
      </c>
      <c r="H48" s="13" t="s">
        <v>3179</v>
      </c>
      <c r="I48" s="35" t="s">
        <v>2204</v>
      </c>
      <c r="J48" s="48" t="str">
        <f t="shared" si="4"/>
        <v>Trương Tâm</v>
      </c>
      <c r="K48" s="8" t="str">
        <f t="shared" si="5"/>
        <v>Lan</v>
      </c>
      <c r="M48" s="1">
        <f>40+46+47</f>
        <v>133</v>
      </c>
    </row>
    <row r="49" spans="1:11" ht="21" customHeight="1">
      <c r="A49" s="9"/>
      <c r="B49" s="21"/>
      <c r="C49" s="22"/>
      <c r="D49" s="102"/>
      <c r="E49" s="35"/>
      <c r="F49" s="35"/>
      <c r="G49" s="17"/>
      <c r="H49" s="13"/>
      <c r="I49" s="35"/>
      <c r="J49" s="48" t="str">
        <f t="shared" si="4"/>
        <v/>
      </c>
      <c r="K49" s="8" t="str">
        <f t="shared" si="5"/>
        <v/>
      </c>
    </row>
    <row r="50" spans="1:11" ht="21" customHeight="1">
      <c r="A50" s="9"/>
      <c r="B50" s="21"/>
      <c r="C50" s="22"/>
      <c r="D50" s="102"/>
      <c r="E50" s="35"/>
      <c r="F50" s="35"/>
      <c r="G50" s="17"/>
      <c r="H50" s="13"/>
      <c r="I50" s="35"/>
      <c r="J50" s="48"/>
      <c r="K50" s="8"/>
    </row>
  </sheetData>
  <sortState ref="B7:H46">
    <sortCondition ref="C7:C46"/>
  </sortState>
  <mergeCells count="8">
    <mergeCell ref="B6:C6"/>
    <mergeCell ref="E6:F6"/>
    <mergeCell ref="A1:D1"/>
    <mergeCell ref="E1:H1"/>
    <mergeCell ref="A2:D2"/>
    <mergeCell ref="E2:H2"/>
    <mergeCell ref="A4:H4"/>
    <mergeCell ref="A5:H5"/>
  </mergeCells>
  <pageMargins left="0.2" right="0.2" top="0.75" bottom="0.33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opLeftCell="A33" workbookViewId="0">
      <selection activeCell="I46" sqref="I46:I49"/>
    </sheetView>
  </sheetViews>
  <sheetFormatPr defaultRowHeight="15"/>
  <cols>
    <col min="1" max="1" width="5.28515625" style="1" customWidth="1"/>
    <col min="2" max="2" width="22.140625" style="1" customWidth="1"/>
    <col min="3" max="3" width="8.28515625" style="1" customWidth="1"/>
    <col min="4" max="4" width="9.85546875" style="1" customWidth="1"/>
    <col min="5" max="5" width="15" style="1" customWidth="1"/>
    <col min="6" max="6" width="13" style="1" customWidth="1"/>
    <col min="7" max="7" width="13.28515625" style="1" customWidth="1"/>
    <col min="8" max="8" width="12.28515625" style="1" customWidth="1"/>
    <col min="9" max="9" width="32.7109375" style="156" customWidth="1"/>
    <col min="10" max="10" width="18.5703125" style="81" customWidth="1"/>
    <col min="11" max="16384" width="9.140625" style="1"/>
  </cols>
  <sheetData>
    <row r="1" spans="1:13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  <c r="I1" s="166"/>
    </row>
    <row r="2" spans="1:13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  <c r="I2" s="166"/>
    </row>
    <row r="3" spans="1:13" ht="15.75" customHeight="1">
      <c r="A3" s="2"/>
      <c r="B3" s="3"/>
      <c r="C3" s="3"/>
      <c r="D3" s="3"/>
    </row>
    <row r="4" spans="1:13" ht="15.75" customHeight="1">
      <c r="A4" s="308" t="s">
        <v>10</v>
      </c>
      <c r="B4" s="308"/>
      <c r="C4" s="308"/>
      <c r="D4" s="308"/>
      <c r="E4" s="308"/>
      <c r="F4" s="308"/>
      <c r="G4" s="308"/>
      <c r="H4" s="308"/>
      <c r="I4" s="167"/>
    </row>
    <row r="5" spans="1:13" s="4" customFormat="1" ht="23.25" customHeight="1">
      <c r="A5" s="309" t="s">
        <v>1604</v>
      </c>
      <c r="B5" s="309"/>
      <c r="C5" s="309"/>
      <c r="D5" s="309"/>
      <c r="E5" s="309"/>
      <c r="F5" s="309"/>
      <c r="G5" s="309"/>
      <c r="H5" s="309"/>
      <c r="I5" s="168"/>
      <c r="J5" s="82"/>
    </row>
    <row r="6" spans="1:13" s="8" customFormat="1" ht="45.75" customHeight="1">
      <c r="A6" s="5" t="s">
        <v>4</v>
      </c>
      <c r="B6" s="302" t="s">
        <v>5</v>
      </c>
      <c r="C6" s="303"/>
      <c r="D6" s="6" t="s">
        <v>6</v>
      </c>
      <c r="E6" s="304" t="s">
        <v>11</v>
      </c>
      <c r="F6" s="305"/>
      <c r="G6" s="20" t="s">
        <v>226</v>
      </c>
      <c r="H6" s="20" t="s">
        <v>186</v>
      </c>
      <c r="I6" s="6" t="s">
        <v>2887</v>
      </c>
      <c r="J6" s="83"/>
    </row>
    <row r="7" spans="1:13" s="8" customFormat="1" ht="19.5" customHeight="1">
      <c r="A7" s="9">
        <f t="shared" ref="A7:A49" si="0">ROW()-6</f>
        <v>1</v>
      </c>
      <c r="B7" s="21" t="s">
        <v>2080</v>
      </c>
      <c r="C7" s="22" t="s">
        <v>15</v>
      </c>
      <c r="D7" s="102" t="s">
        <v>2084</v>
      </c>
      <c r="E7" s="35" t="s">
        <v>665</v>
      </c>
      <c r="F7" s="35" t="s">
        <v>541</v>
      </c>
      <c r="G7" s="17" t="s">
        <v>2972</v>
      </c>
      <c r="H7" s="13" t="s">
        <v>2072</v>
      </c>
      <c r="I7" s="35" t="s">
        <v>2204</v>
      </c>
      <c r="J7" s="83" t="str">
        <f t="shared" ref="J7:K13" si="1">PROPER(B7)</f>
        <v>Phạm Thị Khánh</v>
      </c>
      <c r="K7" s="8" t="str">
        <f t="shared" si="1"/>
        <v>Bình</v>
      </c>
    </row>
    <row r="8" spans="1:13" s="8" customFormat="1" ht="19.5" customHeight="1">
      <c r="A8" s="9">
        <f t="shared" si="0"/>
        <v>2</v>
      </c>
      <c r="B8" s="21" t="s">
        <v>1074</v>
      </c>
      <c r="C8" s="22" t="s">
        <v>1135</v>
      </c>
      <c r="D8" s="12" t="s">
        <v>1595</v>
      </c>
      <c r="E8" s="35" t="s">
        <v>1890</v>
      </c>
      <c r="F8" s="35" t="s">
        <v>631</v>
      </c>
      <c r="G8" s="17" t="s">
        <v>1891</v>
      </c>
      <c r="H8" s="13" t="s">
        <v>2039</v>
      </c>
      <c r="I8" s="35" t="s">
        <v>2204</v>
      </c>
      <c r="J8" s="83" t="str">
        <f t="shared" si="1"/>
        <v>Huỳnh Công</v>
      </c>
      <c r="K8" s="8" t="str">
        <f t="shared" si="1"/>
        <v>Đại</v>
      </c>
    </row>
    <row r="9" spans="1:13" s="8" customFormat="1" ht="19.5" customHeight="1">
      <c r="A9" s="9">
        <f t="shared" si="0"/>
        <v>3</v>
      </c>
      <c r="B9" s="21" t="s">
        <v>1990</v>
      </c>
      <c r="C9" s="22" t="s">
        <v>359</v>
      </c>
      <c r="D9" s="12" t="s">
        <v>1800</v>
      </c>
      <c r="E9" s="35" t="s">
        <v>592</v>
      </c>
      <c r="F9" s="35" t="s">
        <v>556</v>
      </c>
      <c r="G9" s="17" t="s">
        <v>2885</v>
      </c>
      <c r="H9" s="13" t="s">
        <v>1955</v>
      </c>
      <c r="I9" s="35" t="s">
        <v>2204</v>
      </c>
      <c r="J9" s="83" t="str">
        <f t="shared" si="1"/>
        <v>Võ Thị Cẩm</v>
      </c>
      <c r="K9" s="8" t="str">
        <f t="shared" si="1"/>
        <v>Giang</v>
      </c>
    </row>
    <row r="10" spans="1:13" s="8" customFormat="1" ht="19.5" customHeight="1">
      <c r="A10" s="9">
        <f t="shared" si="0"/>
        <v>4</v>
      </c>
      <c r="B10" s="21" t="s">
        <v>1914</v>
      </c>
      <c r="C10" s="22" t="s">
        <v>1915</v>
      </c>
      <c r="D10" s="12" t="s">
        <v>1918</v>
      </c>
      <c r="E10" s="35" t="s">
        <v>2865</v>
      </c>
      <c r="F10" s="35" t="s">
        <v>549</v>
      </c>
      <c r="G10" s="17" t="s">
        <v>2866</v>
      </c>
      <c r="H10" s="13" t="s">
        <v>1912</v>
      </c>
      <c r="I10" s="35" t="s">
        <v>2204</v>
      </c>
      <c r="J10" s="83" t="str">
        <f t="shared" si="1"/>
        <v xml:space="preserve">Sùng Chi </v>
      </c>
      <c r="K10" s="8" t="str">
        <f t="shared" si="1"/>
        <v>Ha</v>
      </c>
    </row>
    <row r="11" spans="1:13" s="8" customFormat="1" ht="19.5" customHeight="1">
      <c r="A11" s="9">
        <f t="shared" si="0"/>
        <v>5</v>
      </c>
      <c r="B11" s="21" t="s">
        <v>504</v>
      </c>
      <c r="C11" s="22" t="s">
        <v>232</v>
      </c>
      <c r="D11" s="12" t="s">
        <v>1667</v>
      </c>
      <c r="E11" s="35" t="s">
        <v>547</v>
      </c>
      <c r="F11" s="35" t="s">
        <v>541</v>
      </c>
      <c r="G11" s="17" t="s">
        <v>1892</v>
      </c>
      <c r="H11" s="13" t="s">
        <v>1668</v>
      </c>
      <c r="I11" s="35" t="s">
        <v>2204</v>
      </c>
      <c r="J11" s="83" t="str">
        <f t="shared" si="1"/>
        <v>Nguyễn Thị</v>
      </c>
      <c r="K11" s="8" t="str">
        <f t="shared" si="1"/>
        <v>Hà</v>
      </c>
    </row>
    <row r="12" spans="1:13" s="8" customFormat="1" ht="19.5" customHeight="1">
      <c r="A12" s="9">
        <f t="shared" si="0"/>
        <v>6</v>
      </c>
      <c r="B12" s="21" t="s">
        <v>1292</v>
      </c>
      <c r="C12" s="22" t="s">
        <v>413</v>
      </c>
      <c r="D12" s="12">
        <v>39752</v>
      </c>
      <c r="E12" s="35" t="s">
        <v>868</v>
      </c>
      <c r="F12" s="35" t="s">
        <v>541</v>
      </c>
      <c r="G12" s="17" t="s">
        <v>1733</v>
      </c>
      <c r="H12" s="13" t="s">
        <v>1620</v>
      </c>
      <c r="I12" s="35" t="s">
        <v>2204</v>
      </c>
      <c r="J12" s="83" t="str">
        <f t="shared" si="1"/>
        <v>Nguyễn Thị Mỹ</v>
      </c>
      <c r="K12" s="8" t="str">
        <f t="shared" si="1"/>
        <v>Hoa</v>
      </c>
    </row>
    <row r="13" spans="1:13" s="8" customFormat="1" ht="19.5" customHeight="1">
      <c r="A13" s="9">
        <f t="shared" si="0"/>
        <v>7</v>
      </c>
      <c r="B13" s="21" t="s">
        <v>1986</v>
      </c>
      <c r="C13" s="22" t="s">
        <v>347</v>
      </c>
      <c r="D13" s="12" t="s">
        <v>1395</v>
      </c>
      <c r="E13" s="35" t="s">
        <v>2726</v>
      </c>
      <c r="F13" s="35" t="s">
        <v>544</v>
      </c>
      <c r="G13" s="17" t="s">
        <v>2903</v>
      </c>
      <c r="H13" s="13" t="s">
        <v>1955</v>
      </c>
      <c r="I13" s="35" t="s">
        <v>2331</v>
      </c>
      <c r="J13" s="83" t="str">
        <f t="shared" si="1"/>
        <v>Y Thiêng</v>
      </c>
      <c r="K13" s="8" t="str">
        <f t="shared" si="1"/>
        <v>Hương</v>
      </c>
    </row>
    <row r="14" spans="1:13" s="8" customFormat="1" ht="19.5" customHeight="1">
      <c r="A14" s="9">
        <f t="shared" si="0"/>
        <v>8</v>
      </c>
      <c r="B14" s="21" t="s">
        <v>2079</v>
      </c>
      <c r="C14" s="22" t="s">
        <v>347</v>
      </c>
      <c r="D14" s="102" t="s">
        <v>2083</v>
      </c>
      <c r="E14" s="35" t="s">
        <v>664</v>
      </c>
      <c r="F14" s="35" t="s">
        <v>541</v>
      </c>
      <c r="G14" s="17" t="s">
        <v>2889</v>
      </c>
      <c r="H14" s="13" t="s">
        <v>2072</v>
      </c>
      <c r="I14" s="35" t="s">
        <v>3474</v>
      </c>
      <c r="J14" s="83" t="str">
        <f t="shared" ref="J14:J18" si="2">PROPER(B14)</f>
        <v>Nguyễn Võ Quỳnh</v>
      </c>
      <c r="K14" s="8" t="str">
        <f t="shared" ref="K14:K18" si="3">PROPER(C14)</f>
        <v>Hương</v>
      </c>
    </row>
    <row r="15" spans="1:13" s="8" customFormat="1" ht="19.5" customHeight="1">
      <c r="A15" s="9">
        <f t="shared" si="0"/>
        <v>9</v>
      </c>
      <c r="B15" s="21" t="s">
        <v>2049</v>
      </c>
      <c r="C15" s="22" t="s">
        <v>115</v>
      </c>
      <c r="D15" s="161" t="s">
        <v>1664</v>
      </c>
      <c r="E15" s="35" t="s">
        <v>781</v>
      </c>
      <c r="F15" s="35" t="s">
        <v>556</v>
      </c>
      <c r="G15" s="17" t="s">
        <v>2888</v>
      </c>
      <c r="H15" s="13" t="s">
        <v>2018</v>
      </c>
      <c r="I15" s="35" t="s">
        <v>2208</v>
      </c>
      <c r="J15" s="83" t="str">
        <f t="shared" si="2"/>
        <v>Đặng Quang</v>
      </c>
      <c r="K15" s="8" t="str">
        <f t="shared" si="3"/>
        <v>Khải</v>
      </c>
    </row>
    <row r="16" spans="1:13" s="8" customFormat="1" ht="19.5" customHeight="1">
      <c r="A16" s="9">
        <f t="shared" si="0"/>
        <v>10</v>
      </c>
      <c r="B16" s="21" t="s">
        <v>1913</v>
      </c>
      <c r="C16" s="22" t="s">
        <v>255</v>
      </c>
      <c r="D16" s="12" t="s">
        <v>1143</v>
      </c>
      <c r="E16" s="35" t="s">
        <v>2882</v>
      </c>
      <c r="F16" s="35" t="s">
        <v>553</v>
      </c>
      <c r="G16" s="17" t="s">
        <v>2883</v>
      </c>
      <c r="H16" s="13" t="s">
        <v>1912</v>
      </c>
      <c r="I16" s="35" t="s">
        <v>3000</v>
      </c>
      <c r="J16" s="83" t="str">
        <f t="shared" si="2"/>
        <v>Nguyễn Trương Quỳnh</v>
      </c>
      <c r="K16" s="8" t="str">
        <f t="shared" si="3"/>
        <v>Lam</v>
      </c>
      <c r="M16" s="8">
        <f>40+46+47</f>
        <v>133</v>
      </c>
    </row>
    <row r="17" spans="1:11" s="8" customFormat="1" ht="19.5" customHeight="1">
      <c r="A17" s="9">
        <f t="shared" si="0"/>
        <v>11</v>
      </c>
      <c r="B17" s="21" t="s">
        <v>1991</v>
      </c>
      <c r="C17" s="22" t="s">
        <v>495</v>
      </c>
      <c r="D17" s="12" t="s">
        <v>1996</v>
      </c>
      <c r="E17" s="35" t="s">
        <v>659</v>
      </c>
      <c r="F17" s="35" t="s">
        <v>544</v>
      </c>
      <c r="G17" s="17" t="s">
        <v>2875</v>
      </c>
      <c r="H17" s="13" t="s">
        <v>1955</v>
      </c>
      <c r="I17" s="35" t="s">
        <v>3068</v>
      </c>
      <c r="J17" s="83" t="str">
        <f t="shared" si="2"/>
        <v>Đinh Thị Thùy</v>
      </c>
      <c r="K17" s="8" t="str">
        <f t="shared" si="3"/>
        <v>Liên</v>
      </c>
    </row>
    <row r="18" spans="1:11" s="8" customFormat="1" ht="19.5" customHeight="1">
      <c r="A18" s="9">
        <f t="shared" si="0"/>
        <v>12</v>
      </c>
      <c r="B18" s="21" t="s">
        <v>1844</v>
      </c>
      <c r="C18" s="22" t="s">
        <v>294</v>
      </c>
      <c r="D18" s="12">
        <v>39608</v>
      </c>
      <c r="E18" s="35" t="s">
        <v>1044</v>
      </c>
      <c r="F18" s="35" t="s">
        <v>573</v>
      </c>
      <c r="G18" s="17" t="s">
        <v>2869</v>
      </c>
      <c r="H18" s="13" t="s">
        <v>1833</v>
      </c>
      <c r="I18" s="35" t="s">
        <v>2293</v>
      </c>
      <c r="J18" s="83" t="str">
        <f t="shared" si="2"/>
        <v>Bùi Nguyễn Hoàng</v>
      </c>
      <c r="K18" s="8" t="str">
        <f t="shared" si="3"/>
        <v>Linh</v>
      </c>
    </row>
    <row r="19" spans="1:11" s="8" customFormat="1" ht="19.5" customHeight="1">
      <c r="A19" s="9">
        <f t="shared" si="0"/>
        <v>13</v>
      </c>
      <c r="B19" s="21" t="s">
        <v>1988</v>
      </c>
      <c r="C19" s="22" t="s">
        <v>1989</v>
      </c>
      <c r="D19" s="12" t="s">
        <v>2000</v>
      </c>
      <c r="E19" s="35" t="s">
        <v>562</v>
      </c>
      <c r="F19" s="35" t="s">
        <v>541</v>
      </c>
      <c r="G19" s="17" t="s">
        <v>2876</v>
      </c>
      <c r="H19" s="13" t="s">
        <v>1955</v>
      </c>
      <c r="I19" s="35" t="s">
        <v>2204</v>
      </c>
      <c r="J19" s="83" t="str">
        <f t="shared" ref="J19:K21" si="4">PROPER(B19)</f>
        <v>Đinh Thị Trần</v>
      </c>
      <c r="K19" s="8" t="str">
        <f t="shared" si="4"/>
        <v>Lựu</v>
      </c>
    </row>
    <row r="20" spans="1:11" s="8" customFormat="1" ht="19.5" customHeight="1">
      <c r="A20" s="9">
        <f t="shared" si="0"/>
        <v>14</v>
      </c>
      <c r="B20" s="21" t="s">
        <v>1946</v>
      </c>
      <c r="C20" s="22" t="s">
        <v>397</v>
      </c>
      <c r="D20" s="12" t="s">
        <v>1329</v>
      </c>
      <c r="E20" s="35" t="s">
        <v>868</v>
      </c>
      <c r="F20" s="35" t="s">
        <v>541</v>
      </c>
      <c r="G20" s="17" t="s">
        <v>2877</v>
      </c>
      <c r="H20" s="13" t="s">
        <v>1936</v>
      </c>
      <c r="I20" s="35" t="s">
        <v>2204</v>
      </c>
      <c r="J20" s="83" t="str">
        <f t="shared" si="4"/>
        <v>Huỳnh Thị Khánh</v>
      </c>
      <c r="K20" s="8" t="str">
        <f t="shared" si="4"/>
        <v>Ly</v>
      </c>
    </row>
    <row r="21" spans="1:11" s="8" customFormat="1" ht="19.5" customHeight="1">
      <c r="A21" s="9">
        <f t="shared" si="0"/>
        <v>15</v>
      </c>
      <c r="B21" s="21" t="s">
        <v>1987</v>
      </c>
      <c r="C21" s="22" t="s">
        <v>275</v>
      </c>
      <c r="D21" s="12" t="s">
        <v>1999</v>
      </c>
      <c r="E21" s="35" t="s">
        <v>1159</v>
      </c>
      <c r="F21" s="35" t="s">
        <v>556</v>
      </c>
      <c r="G21" s="17" t="s">
        <v>2874</v>
      </c>
      <c r="H21" s="13" t="s">
        <v>1955</v>
      </c>
      <c r="I21" s="35" t="s">
        <v>2208</v>
      </c>
      <c r="J21" s="83" t="str">
        <f t="shared" si="4"/>
        <v>Nguyễn Thị Hoàng</v>
      </c>
      <c r="K21" s="8" t="str">
        <f t="shared" si="4"/>
        <v>Mai</v>
      </c>
    </row>
    <row r="22" spans="1:11" s="8" customFormat="1" ht="19.5" customHeight="1">
      <c r="A22" s="9">
        <f t="shared" si="0"/>
        <v>16</v>
      </c>
      <c r="B22" s="21" t="s">
        <v>1836</v>
      </c>
      <c r="C22" s="22" t="s">
        <v>351</v>
      </c>
      <c r="D22" s="12" t="s">
        <v>1345</v>
      </c>
      <c r="E22" s="35" t="s">
        <v>1156</v>
      </c>
      <c r="F22" s="35" t="s">
        <v>556</v>
      </c>
      <c r="G22" s="17" t="s">
        <v>2871</v>
      </c>
      <c r="H22" s="13" t="s">
        <v>1833</v>
      </c>
      <c r="I22" s="35" t="s">
        <v>2466</v>
      </c>
      <c r="J22" s="83" t="str">
        <f t="shared" ref="J22:J28" si="5">PROPER(B22)</f>
        <v>Phạm Ly Ni</v>
      </c>
      <c r="K22" s="8" t="str">
        <f t="shared" ref="K22:K28" si="6">PROPER(C22)</f>
        <v>Na</v>
      </c>
    </row>
    <row r="23" spans="1:11" s="8" customFormat="1" ht="19.5" customHeight="1">
      <c r="A23" s="9">
        <f t="shared" si="0"/>
        <v>17</v>
      </c>
      <c r="B23" s="21" t="s">
        <v>1993</v>
      </c>
      <c r="C23" s="22" t="s">
        <v>1994</v>
      </c>
      <c r="D23" s="12" t="s">
        <v>1998</v>
      </c>
      <c r="E23" s="35" t="s">
        <v>718</v>
      </c>
      <c r="F23" s="35" t="s">
        <v>541</v>
      </c>
      <c r="G23" s="17" t="s">
        <v>2904</v>
      </c>
      <c r="H23" s="13" t="s">
        <v>1955</v>
      </c>
      <c r="I23" s="35" t="s">
        <v>3474</v>
      </c>
      <c r="J23" s="83" t="str">
        <f t="shared" si="5"/>
        <v>Phan Thúy</v>
      </c>
      <c r="K23" s="8" t="str">
        <f t="shared" si="6"/>
        <v>Nga</v>
      </c>
    </row>
    <row r="24" spans="1:11" s="8" customFormat="1" ht="19.5" customHeight="1">
      <c r="A24" s="9">
        <f t="shared" si="0"/>
        <v>18</v>
      </c>
      <c r="B24" s="21" t="s">
        <v>1665</v>
      </c>
      <c r="C24" s="22" t="s">
        <v>284</v>
      </c>
      <c r="D24" s="12" t="s">
        <v>1666</v>
      </c>
      <c r="E24" s="35" t="s">
        <v>637</v>
      </c>
      <c r="F24" s="35" t="s">
        <v>541</v>
      </c>
      <c r="G24" s="17" t="s">
        <v>1893</v>
      </c>
      <c r="H24" s="13" t="s">
        <v>1668</v>
      </c>
      <c r="I24" s="35" t="s">
        <v>2204</v>
      </c>
      <c r="J24" s="83" t="str">
        <f t="shared" si="5"/>
        <v>Đào Huỳnh Thanh</v>
      </c>
      <c r="K24" s="8" t="str">
        <f t="shared" si="6"/>
        <v>Ngân</v>
      </c>
    </row>
    <row r="25" spans="1:11" s="8" customFormat="1" ht="19.5" customHeight="1">
      <c r="A25" s="9">
        <f t="shared" si="0"/>
        <v>19</v>
      </c>
      <c r="B25" s="21" t="s">
        <v>1768</v>
      </c>
      <c r="C25" s="22" t="s">
        <v>284</v>
      </c>
      <c r="D25" s="12" t="s">
        <v>1771</v>
      </c>
      <c r="E25" s="35" t="s">
        <v>748</v>
      </c>
      <c r="F25" s="35" t="s">
        <v>541</v>
      </c>
      <c r="G25" s="17" t="s">
        <v>1901</v>
      </c>
      <c r="H25" s="13" t="s">
        <v>1767</v>
      </c>
      <c r="I25" s="35" t="s">
        <v>2208</v>
      </c>
      <c r="J25" s="83" t="str">
        <f t="shared" si="5"/>
        <v>Lê Thị Thanh</v>
      </c>
      <c r="K25" s="8" t="str">
        <f t="shared" si="6"/>
        <v>Ngân</v>
      </c>
    </row>
    <row r="26" spans="1:11" s="8" customFormat="1" ht="19.5" customHeight="1">
      <c r="A26" s="9">
        <f t="shared" si="0"/>
        <v>20</v>
      </c>
      <c r="B26" s="21" t="s">
        <v>1842</v>
      </c>
      <c r="C26" s="22" t="s">
        <v>284</v>
      </c>
      <c r="D26" s="12" t="s">
        <v>1846</v>
      </c>
      <c r="E26" s="35" t="s">
        <v>2726</v>
      </c>
      <c r="F26" s="35" t="s">
        <v>544</v>
      </c>
      <c r="G26" s="17" t="s">
        <v>2873</v>
      </c>
      <c r="H26" s="13" t="s">
        <v>1833</v>
      </c>
      <c r="I26" s="35" t="s">
        <v>3475</v>
      </c>
      <c r="J26" s="83" t="str">
        <f t="shared" si="5"/>
        <v>Y Nhật Lệ</v>
      </c>
      <c r="K26" s="8" t="str">
        <f t="shared" si="6"/>
        <v>Ngân</v>
      </c>
    </row>
    <row r="27" spans="1:11" s="8" customFormat="1" ht="19.5" customHeight="1">
      <c r="A27" s="9">
        <f t="shared" si="0"/>
        <v>21</v>
      </c>
      <c r="B27" s="21" t="s">
        <v>1837</v>
      </c>
      <c r="C27" s="22" t="s">
        <v>1838</v>
      </c>
      <c r="D27" s="12" t="s">
        <v>1259</v>
      </c>
      <c r="E27" s="35" t="s">
        <v>705</v>
      </c>
      <c r="F27" s="35" t="s">
        <v>541</v>
      </c>
      <c r="G27" s="17" t="s">
        <v>2878</v>
      </c>
      <c r="H27" s="13" t="s">
        <v>1833</v>
      </c>
      <c r="I27" s="35" t="s">
        <v>2204</v>
      </c>
      <c r="J27" s="83" t="str">
        <f t="shared" si="5"/>
        <v>Phan Ngọc Ái</v>
      </c>
      <c r="K27" s="8" t="str">
        <f t="shared" si="6"/>
        <v>Nghi</v>
      </c>
    </row>
    <row r="28" spans="1:11" s="8" customFormat="1" ht="19.5" customHeight="1">
      <c r="A28" s="9">
        <f t="shared" si="0"/>
        <v>22</v>
      </c>
      <c r="B28" s="21" t="s">
        <v>1616</v>
      </c>
      <c r="C28" s="22" t="s">
        <v>1617</v>
      </c>
      <c r="D28" s="12" t="s">
        <v>1621</v>
      </c>
      <c r="E28" s="35" t="s">
        <v>1374</v>
      </c>
      <c r="F28" s="35" t="s">
        <v>556</v>
      </c>
      <c r="G28" s="17" t="s">
        <v>1894</v>
      </c>
      <c r="H28" s="13" t="s">
        <v>1620</v>
      </c>
      <c r="I28" s="35" t="s">
        <v>2207</v>
      </c>
      <c r="J28" s="83" t="str">
        <f t="shared" si="5"/>
        <v>Đinh Hoàng</v>
      </c>
      <c r="K28" s="8" t="str">
        <f t="shared" si="6"/>
        <v>Nghiệp</v>
      </c>
    </row>
    <row r="29" spans="1:11" s="8" customFormat="1" ht="19.5" customHeight="1">
      <c r="A29" s="9">
        <f t="shared" si="0"/>
        <v>23</v>
      </c>
      <c r="B29" s="21" t="s">
        <v>1995</v>
      </c>
      <c r="C29" s="22" t="s">
        <v>331</v>
      </c>
      <c r="D29" s="12" t="s">
        <v>1395</v>
      </c>
      <c r="E29" s="35" t="s">
        <v>903</v>
      </c>
      <c r="F29" s="35" t="s">
        <v>541</v>
      </c>
      <c r="G29" s="17" t="s">
        <v>2901</v>
      </c>
      <c r="H29" s="13" t="s">
        <v>1955</v>
      </c>
      <c r="I29" s="35" t="s">
        <v>2215</v>
      </c>
      <c r="J29" s="83" t="str">
        <f t="shared" ref="J29:J30" si="7">PROPER(B29)</f>
        <v xml:space="preserve">Thủy Diệu Huyền </v>
      </c>
      <c r="K29" s="8" t="str">
        <f t="shared" ref="K29:K30" si="8">PROPER(C29)</f>
        <v>Ngọc</v>
      </c>
    </row>
    <row r="30" spans="1:11" s="8" customFormat="1" ht="19.5" customHeight="1">
      <c r="A30" s="9">
        <f t="shared" si="0"/>
        <v>24</v>
      </c>
      <c r="B30" s="21" t="s">
        <v>1589</v>
      </c>
      <c r="C30" s="22" t="s">
        <v>315</v>
      </c>
      <c r="D30" s="12" t="s">
        <v>1347</v>
      </c>
      <c r="E30" s="35" t="s">
        <v>629</v>
      </c>
      <c r="F30" s="35" t="s">
        <v>541</v>
      </c>
      <c r="G30" s="17" t="s">
        <v>1895</v>
      </c>
      <c r="H30" s="13" t="s">
        <v>1602</v>
      </c>
      <c r="I30" s="35" t="s">
        <v>2204</v>
      </c>
      <c r="J30" s="83" t="str">
        <f t="shared" si="7"/>
        <v>Nguyễn Thị Phương</v>
      </c>
      <c r="K30" s="8" t="str">
        <f t="shared" si="8"/>
        <v>Nhi</v>
      </c>
    </row>
    <row r="31" spans="1:11" s="8" customFormat="1" ht="19.5" customHeight="1">
      <c r="A31" s="9">
        <f t="shared" si="0"/>
        <v>25</v>
      </c>
      <c r="B31" s="21" t="s">
        <v>1618</v>
      </c>
      <c r="C31" s="22" t="s">
        <v>315</v>
      </c>
      <c r="D31" s="12" t="s">
        <v>1622</v>
      </c>
      <c r="E31" s="35" t="s">
        <v>725</v>
      </c>
      <c r="F31" s="35" t="s">
        <v>541</v>
      </c>
      <c r="G31" s="17" t="s">
        <v>1896</v>
      </c>
      <c r="H31" s="13" t="s">
        <v>2038</v>
      </c>
      <c r="I31" s="35" t="s">
        <v>2204</v>
      </c>
      <c r="J31" s="83" t="str">
        <f t="shared" ref="J31:K34" si="9">PROPER(B31)</f>
        <v>Nguyễn Thị Yến</v>
      </c>
      <c r="K31" s="8" t="str">
        <f t="shared" si="9"/>
        <v>Nhi</v>
      </c>
    </row>
    <row r="32" spans="1:11" s="8" customFormat="1" ht="19.5" customHeight="1">
      <c r="A32" s="9">
        <f t="shared" si="0"/>
        <v>26</v>
      </c>
      <c r="B32" s="21" t="s">
        <v>1588</v>
      </c>
      <c r="C32" s="22" t="s">
        <v>97</v>
      </c>
      <c r="D32" s="12" t="s">
        <v>1594</v>
      </c>
      <c r="E32" s="35" t="s">
        <v>1898</v>
      </c>
      <c r="F32" s="35" t="s">
        <v>556</v>
      </c>
      <c r="G32" s="17" t="s">
        <v>1897</v>
      </c>
      <c r="H32" s="13" t="s">
        <v>1602</v>
      </c>
      <c r="I32" s="35" t="s">
        <v>2204</v>
      </c>
      <c r="J32" s="83" t="str">
        <f t="shared" si="9"/>
        <v>Huỳnh Thu</v>
      </c>
      <c r="K32" s="8" t="str">
        <f t="shared" si="9"/>
        <v>Phương</v>
      </c>
    </row>
    <row r="33" spans="1:11" s="8" customFormat="1" ht="19.5" customHeight="1">
      <c r="A33" s="9">
        <f t="shared" si="0"/>
        <v>27</v>
      </c>
      <c r="B33" s="21" t="s">
        <v>1590</v>
      </c>
      <c r="C33" s="22" t="s">
        <v>1591</v>
      </c>
      <c r="D33" s="12" t="s">
        <v>1203</v>
      </c>
      <c r="E33" s="35" t="s">
        <v>1783</v>
      </c>
      <c r="F33" s="35" t="s">
        <v>556</v>
      </c>
      <c r="G33" s="17" t="s">
        <v>1784</v>
      </c>
      <c r="H33" s="13" t="s">
        <v>1602</v>
      </c>
      <c r="I33" s="35" t="s">
        <v>2204</v>
      </c>
      <c r="J33" s="83" t="str">
        <f t="shared" si="9"/>
        <v>Nguyễn Thị Bích</v>
      </c>
      <c r="K33" s="8" t="str">
        <f t="shared" si="9"/>
        <v>Phượng</v>
      </c>
    </row>
    <row r="34" spans="1:11" s="8" customFormat="1" ht="19.5" customHeight="1">
      <c r="A34" s="9">
        <f t="shared" si="0"/>
        <v>28</v>
      </c>
      <c r="B34" s="21" t="s">
        <v>1840</v>
      </c>
      <c r="C34" s="22" t="s">
        <v>1841</v>
      </c>
      <c r="D34" s="12" t="s">
        <v>1845</v>
      </c>
      <c r="E34" s="35" t="s">
        <v>2726</v>
      </c>
      <c r="F34" s="35" t="s">
        <v>544</v>
      </c>
      <c r="G34" s="17" t="s">
        <v>2872</v>
      </c>
      <c r="H34" s="13" t="s">
        <v>1833</v>
      </c>
      <c r="I34" s="35" t="s">
        <v>2208</v>
      </c>
      <c r="J34" s="83" t="str">
        <f t="shared" si="9"/>
        <v>Y Lệ</v>
      </c>
      <c r="K34" s="8" t="str">
        <f t="shared" si="9"/>
        <v>Sương</v>
      </c>
    </row>
    <row r="35" spans="1:11" s="8" customFormat="1" ht="19.5" customHeight="1">
      <c r="A35" s="9">
        <f t="shared" si="0"/>
        <v>29</v>
      </c>
      <c r="B35" s="21" t="s">
        <v>1839</v>
      </c>
      <c r="C35" s="22" t="s">
        <v>118</v>
      </c>
      <c r="D35" s="12" t="s">
        <v>1187</v>
      </c>
      <c r="E35" s="35" t="s">
        <v>1755</v>
      </c>
      <c r="F35" s="35" t="s">
        <v>556</v>
      </c>
      <c r="G35" s="17" t="s">
        <v>2870</v>
      </c>
      <c r="H35" s="13" t="s">
        <v>1833</v>
      </c>
      <c r="I35" s="35" t="s">
        <v>2208</v>
      </c>
      <c r="J35" s="83" t="str">
        <f t="shared" ref="J35:K42" si="10">PROPER(B35)</f>
        <v>Rơ Mah H'</v>
      </c>
      <c r="K35" s="8" t="str">
        <f t="shared" si="10"/>
        <v>Thành</v>
      </c>
    </row>
    <row r="36" spans="1:11" s="8" customFormat="1" ht="19.5" customHeight="1">
      <c r="A36" s="9">
        <f t="shared" si="0"/>
        <v>30</v>
      </c>
      <c r="B36" s="21" t="s">
        <v>1942</v>
      </c>
      <c r="C36" s="22" t="s">
        <v>183</v>
      </c>
      <c r="D36" s="12">
        <v>39720</v>
      </c>
      <c r="E36" s="35" t="s">
        <v>579</v>
      </c>
      <c r="F36" s="35" t="s">
        <v>541</v>
      </c>
      <c r="G36" s="17" t="s">
        <v>2880</v>
      </c>
      <c r="H36" s="13" t="s">
        <v>1936</v>
      </c>
      <c r="I36" s="35" t="s">
        <v>2204</v>
      </c>
      <c r="J36" s="83" t="str">
        <f t="shared" si="10"/>
        <v>Đỗ Thị Dạ</v>
      </c>
      <c r="K36" s="8" t="str">
        <f t="shared" si="10"/>
        <v>Thảo</v>
      </c>
    </row>
    <row r="37" spans="1:11" s="8" customFormat="1" ht="19.5" customHeight="1">
      <c r="A37" s="9">
        <f t="shared" si="0"/>
        <v>31</v>
      </c>
      <c r="B37" s="21" t="s">
        <v>1945</v>
      </c>
      <c r="C37" s="22" t="s">
        <v>257</v>
      </c>
      <c r="D37" s="12" t="s">
        <v>1947</v>
      </c>
      <c r="E37" s="35" t="s">
        <v>653</v>
      </c>
      <c r="F37" s="35" t="s">
        <v>544</v>
      </c>
      <c r="G37" s="17" t="s">
        <v>2879</v>
      </c>
      <c r="H37" s="13" t="s">
        <v>1936</v>
      </c>
      <c r="I37" s="35" t="s">
        <v>2208</v>
      </c>
      <c r="J37" s="83" t="str">
        <f t="shared" si="10"/>
        <v xml:space="preserve">Lê Nguyễn Anh </v>
      </c>
      <c r="K37" s="8" t="str">
        <f t="shared" si="10"/>
        <v>Thư</v>
      </c>
    </row>
    <row r="38" spans="1:11" s="8" customFormat="1" ht="19.5" customHeight="1">
      <c r="A38" s="9">
        <f t="shared" si="0"/>
        <v>32</v>
      </c>
      <c r="B38" s="21" t="s">
        <v>2027</v>
      </c>
      <c r="C38" s="22" t="s">
        <v>257</v>
      </c>
      <c r="D38" s="12" t="s">
        <v>2028</v>
      </c>
      <c r="E38" s="35" t="s">
        <v>782</v>
      </c>
      <c r="F38" s="35" t="s">
        <v>556</v>
      </c>
      <c r="G38" s="17" t="s">
        <v>2900</v>
      </c>
      <c r="H38" s="13" t="s">
        <v>2018</v>
      </c>
      <c r="I38" s="35" t="s">
        <v>2207</v>
      </c>
      <c r="J38" s="83" t="str">
        <f t="shared" si="10"/>
        <v>Trương Thị Anh</v>
      </c>
      <c r="K38" s="8" t="str">
        <f t="shared" si="10"/>
        <v>Thư</v>
      </c>
    </row>
    <row r="39" spans="1:11" s="8" customFormat="1" ht="19.5" customHeight="1">
      <c r="A39" s="9">
        <f t="shared" si="0"/>
        <v>33</v>
      </c>
      <c r="B39" s="21" t="s">
        <v>1592</v>
      </c>
      <c r="C39" s="22" t="s">
        <v>452</v>
      </c>
      <c r="D39" s="12" t="s">
        <v>1329</v>
      </c>
      <c r="E39" s="35" t="s">
        <v>629</v>
      </c>
      <c r="F39" s="35" t="s">
        <v>541</v>
      </c>
      <c r="G39" s="17" t="s">
        <v>1899</v>
      </c>
      <c r="H39" s="13" t="s">
        <v>1602</v>
      </c>
      <c r="I39" s="35" t="s">
        <v>2204</v>
      </c>
      <c r="J39" s="83" t="str">
        <f t="shared" si="10"/>
        <v>Trần Ánh</v>
      </c>
      <c r="K39" s="8" t="str">
        <f t="shared" si="10"/>
        <v>Tiên</v>
      </c>
    </row>
    <row r="40" spans="1:11" s="8" customFormat="1" ht="19.5" customHeight="1">
      <c r="A40" s="9">
        <f t="shared" si="0"/>
        <v>34</v>
      </c>
      <c r="B40" s="21" t="s">
        <v>1593</v>
      </c>
      <c r="C40" s="22" t="s">
        <v>452</v>
      </c>
      <c r="D40" s="12" t="s">
        <v>1596</v>
      </c>
      <c r="E40" s="35" t="s">
        <v>1389</v>
      </c>
      <c r="F40" s="35" t="s">
        <v>541</v>
      </c>
      <c r="G40" s="17" t="s">
        <v>1900</v>
      </c>
      <c r="H40" s="13" t="s">
        <v>1602</v>
      </c>
      <c r="I40" s="35" t="s">
        <v>2204</v>
      </c>
      <c r="J40" s="83" t="str">
        <f t="shared" si="10"/>
        <v>Lê Nguyễn Thủy</v>
      </c>
      <c r="K40" s="8" t="str">
        <f t="shared" si="10"/>
        <v>Tiên</v>
      </c>
    </row>
    <row r="41" spans="1:11" s="8" customFormat="1" ht="19.5" customHeight="1">
      <c r="A41" s="9">
        <f t="shared" si="0"/>
        <v>35</v>
      </c>
      <c r="B41" s="21" t="s">
        <v>2026</v>
      </c>
      <c r="C41" s="22" t="s">
        <v>327</v>
      </c>
      <c r="D41" s="12" t="s">
        <v>1662</v>
      </c>
      <c r="E41" s="35" t="s">
        <v>665</v>
      </c>
      <c r="F41" s="35" t="s">
        <v>541</v>
      </c>
      <c r="G41" s="17" t="s">
        <v>2886</v>
      </c>
      <c r="H41" s="13" t="s">
        <v>2018</v>
      </c>
      <c r="I41" s="35" t="s">
        <v>3474</v>
      </c>
      <c r="J41" s="83" t="str">
        <f t="shared" si="10"/>
        <v>Phạm Thị Thùy</v>
      </c>
      <c r="K41" s="8" t="str">
        <f t="shared" si="10"/>
        <v>Trân</v>
      </c>
    </row>
    <row r="42" spans="1:11" s="8" customFormat="1" ht="19.5" customHeight="1">
      <c r="A42" s="9">
        <f t="shared" si="0"/>
        <v>36</v>
      </c>
      <c r="B42" s="21" t="s">
        <v>1843</v>
      </c>
      <c r="C42" s="22" t="s">
        <v>287</v>
      </c>
      <c r="D42" s="162" t="s">
        <v>1847</v>
      </c>
      <c r="E42" s="35" t="s">
        <v>711</v>
      </c>
      <c r="F42" s="35" t="s">
        <v>541</v>
      </c>
      <c r="G42" s="17" t="s">
        <v>2899</v>
      </c>
      <c r="H42" s="13" t="s">
        <v>1833</v>
      </c>
      <c r="I42" s="35" t="s">
        <v>2204</v>
      </c>
      <c r="J42" s="83" t="str">
        <f t="shared" si="10"/>
        <v>Nguyễn Thị Tuyết</v>
      </c>
      <c r="K42" s="8" t="str">
        <f t="shared" si="10"/>
        <v>Trinh</v>
      </c>
    </row>
    <row r="43" spans="1:11" s="8" customFormat="1" ht="19.5" customHeight="1">
      <c r="A43" s="9">
        <f t="shared" si="0"/>
        <v>37</v>
      </c>
      <c r="B43" s="21" t="s">
        <v>1992</v>
      </c>
      <c r="C43" s="22" t="s">
        <v>403</v>
      </c>
      <c r="D43" s="162" t="s">
        <v>1997</v>
      </c>
      <c r="E43" s="35" t="s">
        <v>1389</v>
      </c>
      <c r="F43" s="35" t="s">
        <v>541</v>
      </c>
      <c r="G43" s="17" t="s">
        <v>2902</v>
      </c>
      <c r="H43" s="13" t="s">
        <v>1955</v>
      </c>
      <c r="I43" s="35" t="s">
        <v>2204</v>
      </c>
      <c r="J43" s="83" t="str">
        <f t="shared" ref="J43" si="11">PROPER(B43)</f>
        <v>Phạm Phương</v>
      </c>
      <c r="K43" s="8" t="str">
        <f t="shared" ref="K43" si="12">PROPER(C43)</f>
        <v>Uyên</v>
      </c>
    </row>
    <row r="44" spans="1:11" s="8" customFormat="1" ht="19.5" customHeight="1">
      <c r="A44" s="9">
        <f t="shared" si="0"/>
        <v>38</v>
      </c>
      <c r="B44" s="21" t="s">
        <v>2048</v>
      </c>
      <c r="C44" s="22" t="s">
        <v>342</v>
      </c>
      <c r="D44" s="161" t="s">
        <v>2050</v>
      </c>
      <c r="E44" s="35" t="s">
        <v>749</v>
      </c>
      <c r="F44" s="35" t="s">
        <v>541</v>
      </c>
      <c r="G44" s="17" t="s">
        <v>3177</v>
      </c>
      <c r="H44" s="13" t="s">
        <v>2018</v>
      </c>
      <c r="I44" s="35" t="s">
        <v>2204</v>
      </c>
      <c r="J44" s="83" t="str">
        <f t="shared" ref="J44:J46" si="13">PROPER(B44)</f>
        <v>Phạm Thị Kiều</v>
      </c>
      <c r="K44" s="8" t="str">
        <f t="shared" ref="K44:K46" si="14">PROPER(C44)</f>
        <v>Vi</v>
      </c>
    </row>
    <row r="45" spans="1:11" s="8" customFormat="1" ht="19.5" customHeight="1">
      <c r="A45" s="9">
        <f t="shared" si="0"/>
        <v>39</v>
      </c>
      <c r="B45" s="21" t="s">
        <v>1619</v>
      </c>
      <c r="C45" s="22" t="s">
        <v>290</v>
      </c>
      <c r="D45" s="12" t="s">
        <v>1348</v>
      </c>
      <c r="E45" s="35" t="s">
        <v>2893</v>
      </c>
      <c r="F45" s="35" t="s">
        <v>556</v>
      </c>
      <c r="G45" s="17" t="s">
        <v>2894</v>
      </c>
      <c r="H45" s="13" t="s">
        <v>1620</v>
      </c>
      <c r="I45" s="35" t="s">
        <v>2293</v>
      </c>
      <c r="J45" s="83" t="str">
        <f t="shared" si="13"/>
        <v>Lê Nguyễn Thảo</v>
      </c>
      <c r="K45" s="8" t="str">
        <f t="shared" si="14"/>
        <v>Vy</v>
      </c>
    </row>
    <row r="46" spans="1:11" s="8" customFormat="1" ht="19.5" customHeight="1">
      <c r="A46" s="9">
        <f t="shared" si="0"/>
        <v>40</v>
      </c>
      <c r="B46" s="21" t="s">
        <v>2943</v>
      </c>
      <c r="C46" s="22" t="s">
        <v>327</v>
      </c>
      <c r="D46" s="284" t="s">
        <v>1771</v>
      </c>
      <c r="E46" s="35" t="s">
        <v>2408</v>
      </c>
      <c r="F46" s="35" t="s">
        <v>544</v>
      </c>
      <c r="G46" s="17" t="s">
        <v>3276</v>
      </c>
      <c r="H46" s="13" t="s">
        <v>1955</v>
      </c>
      <c r="I46" s="35" t="s">
        <v>2204</v>
      </c>
      <c r="J46" s="83" t="str">
        <f t="shared" si="13"/>
        <v>Nguyễn Ngọc Bảo</v>
      </c>
      <c r="K46" s="8" t="str">
        <f t="shared" si="14"/>
        <v>Trân</v>
      </c>
    </row>
    <row r="47" spans="1:11" s="8" customFormat="1" ht="19.5" customHeight="1">
      <c r="A47" s="9">
        <f t="shared" si="0"/>
        <v>41</v>
      </c>
      <c r="B47" s="21" t="s">
        <v>1423</v>
      </c>
      <c r="C47" s="22" t="s">
        <v>97</v>
      </c>
      <c r="D47" s="92" t="s">
        <v>3391</v>
      </c>
      <c r="E47" s="35" t="s">
        <v>787</v>
      </c>
      <c r="F47" s="35" t="s">
        <v>541</v>
      </c>
      <c r="G47" s="17" t="s">
        <v>3400</v>
      </c>
      <c r="H47" s="13" t="s">
        <v>3383</v>
      </c>
      <c r="I47" s="35" t="s">
        <v>2204</v>
      </c>
      <c r="J47" s="83" t="str">
        <f t="shared" ref="J47:J49" si="15">PROPER(B47)</f>
        <v>Lê Văn</v>
      </c>
      <c r="K47" s="8" t="str">
        <f t="shared" ref="K47:K49" si="16">PROPER(C47)</f>
        <v>Phương</v>
      </c>
    </row>
    <row r="48" spans="1:11" s="8" customFormat="1" ht="19.5" customHeight="1">
      <c r="A48" s="9">
        <f t="shared" si="0"/>
        <v>42</v>
      </c>
      <c r="B48" s="21" t="s">
        <v>1251</v>
      </c>
      <c r="C48" s="22" t="s">
        <v>128</v>
      </c>
      <c r="D48" s="92" t="s">
        <v>3503</v>
      </c>
      <c r="E48" s="35" t="s">
        <v>586</v>
      </c>
      <c r="F48" s="35" t="s">
        <v>556</v>
      </c>
      <c r="G48" s="17" t="s">
        <v>3548</v>
      </c>
      <c r="H48" s="13" t="s">
        <v>3502</v>
      </c>
      <c r="I48" s="35" t="s">
        <v>2204</v>
      </c>
      <c r="J48" s="83" t="str">
        <f t="shared" si="15"/>
        <v>Nguyễn Gia</v>
      </c>
      <c r="K48" s="8" t="str">
        <f t="shared" si="16"/>
        <v>Huy</v>
      </c>
    </row>
    <row r="49" spans="1:11" s="8" customFormat="1" ht="19.5" customHeight="1">
      <c r="A49" s="9">
        <f t="shared" si="0"/>
        <v>43</v>
      </c>
      <c r="B49" s="21" t="s">
        <v>536</v>
      </c>
      <c r="C49" s="22" t="s">
        <v>47</v>
      </c>
      <c r="D49" s="92" t="s">
        <v>3504</v>
      </c>
      <c r="E49" s="35" t="s">
        <v>586</v>
      </c>
      <c r="F49" s="35" t="s">
        <v>556</v>
      </c>
      <c r="G49" s="17" t="s">
        <v>3547</v>
      </c>
      <c r="H49" s="13" t="s">
        <v>3502</v>
      </c>
      <c r="I49" s="35" t="s">
        <v>2204</v>
      </c>
      <c r="J49" s="83" t="str">
        <f t="shared" si="15"/>
        <v>Nguyễn Anh</v>
      </c>
      <c r="K49" s="8" t="str">
        <f t="shared" si="16"/>
        <v>Thịnh</v>
      </c>
    </row>
  </sheetData>
  <sortState ref="B7:H46">
    <sortCondition ref="C7:C46"/>
  </sortState>
  <mergeCells count="8">
    <mergeCell ref="B6:C6"/>
    <mergeCell ref="E6:F6"/>
    <mergeCell ref="A1:D1"/>
    <mergeCell ref="E1:H1"/>
    <mergeCell ref="A2:D2"/>
    <mergeCell ref="E2:H2"/>
    <mergeCell ref="A4:H4"/>
    <mergeCell ref="A5:H5"/>
  </mergeCells>
  <pageMargins left="0.3" right="0.2" top="0.57999999999999996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opLeftCell="A13" workbookViewId="0">
      <selection activeCell="B20" sqref="B20:D20"/>
    </sheetView>
  </sheetViews>
  <sheetFormatPr defaultRowHeight="15"/>
  <cols>
    <col min="1" max="1" width="5.28515625" style="1" customWidth="1"/>
    <col min="2" max="2" width="22.140625" style="1" customWidth="1"/>
    <col min="3" max="3" width="8.28515625" style="1" customWidth="1"/>
    <col min="4" max="4" width="10.85546875" style="42" customWidth="1"/>
    <col min="5" max="5" width="15" style="1" customWidth="1"/>
    <col min="6" max="6" width="12.5703125" style="1" customWidth="1"/>
    <col min="7" max="7" width="13.28515625" style="1" customWidth="1"/>
    <col min="8" max="8" width="12.28515625" style="1" customWidth="1"/>
    <col min="9" max="9" width="31" style="156" customWidth="1"/>
    <col min="10" max="10" width="18.5703125" style="81" customWidth="1"/>
    <col min="11" max="16384" width="9.140625" style="1"/>
  </cols>
  <sheetData>
    <row r="1" spans="1:13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  <c r="I1" s="166"/>
    </row>
    <row r="2" spans="1:13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  <c r="I2" s="166"/>
    </row>
    <row r="3" spans="1:13" ht="15.75" customHeight="1">
      <c r="A3" s="2"/>
      <c r="B3" s="3"/>
      <c r="C3" s="3"/>
      <c r="D3" s="3"/>
    </row>
    <row r="4" spans="1:13" ht="15.75" customHeight="1">
      <c r="A4" s="308" t="s">
        <v>10</v>
      </c>
      <c r="B4" s="308"/>
      <c r="C4" s="308"/>
      <c r="D4" s="308"/>
      <c r="E4" s="308"/>
      <c r="F4" s="308"/>
      <c r="G4" s="308"/>
      <c r="H4" s="308"/>
      <c r="I4" s="167"/>
    </row>
    <row r="5" spans="1:13" s="4" customFormat="1" ht="23.25" customHeight="1">
      <c r="A5" s="309" t="s">
        <v>2078</v>
      </c>
      <c r="B5" s="309"/>
      <c r="C5" s="309"/>
      <c r="D5" s="309"/>
      <c r="E5" s="309"/>
      <c r="F5" s="309"/>
      <c r="G5" s="309"/>
      <c r="H5" s="309"/>
      <c r="I5" s="168"/>
      <c r="J5" s="82"/>
    </row>
    <row r="6" spans="1:13" s="8" customFormat="1" ht="45.75" customHeight="1">
      <c r="A6" s="5" t="s">
        <v>4</v>
      </c>
      <c r="B6" s="302" t="s">
        <v>5</v>
      </c>
      <c r="C6" s="303"/>
      <c r="D6" s="6" t="s">
        <v>6</v>
      </c>
      <c r="E6" s="304" t="s">
        <v>11</v>
      </c>
      <c r="F6" s="305"/>
      <c r="G6" s="20" t="s">
        <v>226</v>
      </c>
      <c r="H6" s="20" t="s">
        <v>186</v>
      </c>
      <c r="I6" s="6" t="s">
        <v>2329</v>
      </c>
      <c r="J6" s="83"/>
    </row>
    <row r="7" spans="1:13" s="8" customFormat="1" ht="21.75" customHeight="1">
      <c r="A7" s="9">
        <f t="shared" ref="A7:A48" si="0">ROW()-6</f>
        <v>1</v>
      </c>
      <c r="B7" s="21" t="s">
        <v>2263</v>
      </c>
      <c r="C7" s="22" t="s">
        <v>2812</v>
      </c>
      <c r="D7" s="40" t="s">
        <v>2269</v>
      </c>
      <c r="E7" s="35" t="s">
        <v>2924</v>
      </c>
      <c r="F7" s="35" t="s">
        <v>553</v>
      </c>
      <c r="G7" s="17" t="s">
        <v>2925</v>
      </c>
      <c r="H7" s="13" t="s">
        <v>2243</v>
      </c>
      <c r="I7" s="35" t="s">
        <v>2204</v>
      </c>
      <c r="J7" s="83" t="str">
        <f>PROPER(B7)</f>
        <v>Y Quýt</v>
      </c>
      <c r="K7" s="8" t="str">
        <f>PROPER(C7)</f>
        <v>Mlô</v>
      </c>
    </row>
    <row r="8" spans="1:13" s="8" customFormat="1" ht="21.75" customHeight="1">
      <c r="A8" s="9">
        <f t="shared" si="0"/>
        <v>2</v>
      </c>
      <c r="B8" s="21" t="s">
        <v>2265</v>
      </c>
      <c r="C8" s="22" t="s">
        <v>354</v>
      </c>
      <c r="D8" s="40" t="s">
        <v>1143</v>
      </c>
      <c r="E8" s="35" t="s">
        <v>714</v>
      </c>
      <c r="F8" s="35" t="s">
        <v>541</v>
      </c>
      <c r="G8" s="17" t="s">
        <v>2922</v>
      </c>
      <c r="H8" s="13" t="s">
        <v>2243</v>
      </c>
      <c r="I8" s="35" t="s">
        <v>2204</v>
      </c>
      <c r="J8" s="83" t="str">
        <f>PROPER(B8)</f>
        <v>Nguyễn Thị Ngọc</v>
      </c>
      <c r="K8" s="8" t="str">
        <f>PROPER(C8)</f>
        <v>Hân</v>
      </c>
    </row>
    <row r="9" spans="1:13" s="8" customFormat="1" ht="21.75" customHeight="1">
      <c r="A9" s="9">
        <f t="shared" si="0"/>
        <v>3</v>
      </c>
      <c r="B9" s="21" t="s">
        <v>2379</v>
      </c>
      <c r="C9" s="22" t="s">
        <v>128</v>
      </c>
      <c r="D9" s="40" t="s">
        <v>2382</v>
      </c>
      <c r="E9" s="35" t="s">
        <v>2920</v>
      </c>
      <c r="F9" s="35" t="s">
        <v>544</v>
      </c>
      <c r="G9" s="17" t="s">
        <v>2752</v>
      </c>
      <c r="H9" s="13" t="s">
        <v>2359</v>
      </c>
      <c r="I9" s="35" t="s">
        <v>3471</v>
      </c>
      <c r="J9" s="83" t="str">
        <f t="shared" ref="J9:K16" si="1">PROPER(B9)</f>
        <v>Trần Thái</v>
      </c>
      <c r="K9" s="8" t="str">
        <f t="shared" si="1"/>
        <v>Huy</v>
      </c>
    </row>
    <row r="10" spans="1:13" s="8" customFormat="1" ht="21.75" customHeight="1">
      <c r="A10" s="9">
        <f t="shared" si="0"/>
        <v>4</v>
      </c>
      <c r="B10" s="21" t="s">
        <v>2047</v>
      </c>
      <c r="C10" s="22" t="s">
        <v>310</v>
      </c>
      <c r="D10" s="40" t="s">
        <v>2127</v>
      </c>
      <c r="E10" s="35" t="s">
        <v>815</v>
      </c>
      <c r="F10" s="35" t="s">
        <v>573</v>
      </c>
      <c r="G10" s="17" t="s">
        <v>2895</v>
      </c>
      <c r="H10" s="13" t="s">
        <v>2106</v>
      </c>
      <c r="I10" s="35" t="s">
        <v>2204</v>
      </c>
      <c r="J10" s="83" t="str">
        <f t="shared" si="1"/>
        <v>Lê Thị</v>
      </c>
      <c r="K10" s="8" t="str">
        <f t="shared" si="1"/>
        <v>Huyền</v>
      </c>
    </row>
    <row r="11" spans="1:13" s="8" customFormat="1" ht="21.75" customHeight="1">
      <c r="A11" s="9">
        <f t="shared" si="0"/>
        <v>5</v>
      </c>
      <c r="B11" s="21" t="s">
        <v>2082</v>
      </c>
      <c r="C11" s="22" t="s">
        <v>415</v>
      </c>
      <c r="D11" s="40" t="s">
        <v>1130</v>
      </c>
      <c r="E11" s="35" t="s">
        <v>917</v>
      </c>
      <c r="F11" s="35" t="s">
        <v>544</v>
      </c>
      <c r="G11" s="17" t="s">
        <v>2892</v>
      </c>
      <c r="H11" s="13" t="s">
        <v>2072</v>
      </c>
      <c r="I11" s="35" t="s">
        <v>3470</v>
      </c>
      <c r="J11" s="83" t="str">
        <f t="shared" si="1"/>
        <v>Mai Thị Mỹ</v>
      </c>
      <c r="K11" s="8" t="str">
        <f t="shared" si="1"/>
        <v>Lệ</v>
      </c>
    </row>
    <row r="12" spans="1:13" s="8" customFormat="1" ht="21.75" customHeight="1">
      <c r="A12" s="9">
        <f t="shared" si="0"/>
        <v>6</v>
      </c>
      <c r="B12" s="21" t="s">
        <v>2266</v>
      </c>
      <c r="C12" s="22" t="s">
        <v>397</v>
      </c>
      <c r="D12" s="40" t="s">
        <v>2270</v>
      </c>
      <c r="E12" s="35" t="s">
        <v>948</v>
      </c>
      <c r="F12" s="35" t="s">
        <v>541</v>
      </c>
      <c r="G12" s="17" t="s">
        <v>2881</v>
      </c>
      <c r="H12" s="13" t="s">
        <v>2243</v>
      </c>
      <c r="I12" s="35" t="s">
        <v>2204</v>
      </c>
      <c r="J12" s="83" t="str">
        <f t="shared" si="1"/>
        <v>Nguyễn Thị Huỳnh</v>
      </c>
      <c r="K12" s="8" t="str">
        <f t="shared" si="1"/>
        <v>Ly</v>
      </c>
    </row>
    <row r="13" spans="1:13" s="8" customFormat="1" ht="21.75" customHeight="1">
      <c r="A13" s="9">
        <f t="shared" si="0"/>
        <v>7</v>
      </c>
      <c r="B13" s="21" t="s">
        <v>2124</v>
      </c>
      <c r="C13" s="22" t="s">
        <v>2125</v>
      </c>
      <c r="D13" s="40" t="s">
        <v>1525</v>
      </c>
      <c r="E13" s="35" t="s">
        <v>781</v>
      </c>
      <c r="F13" s="35" t="s">
        <v>556</v>
      </c>
      <c r="G13" s="17" t="s">
        <v>2917</v>
      </c>
      <c r="H13" s="13" t="s">
        <v>2106</v>
      </c>
      <c r="I13" s="35" t="s">
        <v>2208</v>
      </c>
      <c r="J13" s="83" t="str">
        <f t="shared" si="1"/>
        <v>Puih</v>
      </c>
      <c r="K13" s="8" t="str">
        <f t="shared" si="1"/>
        <v>Mơn</v>
      </c>
      <c r="M13" s="8">
        <f>40+46+47</f>
        <v>133</v>
      </c>
    </row>
    <row r="14" spans="1:13" s="8" customFormat="1" ht="21.75" customHeight="1">
      <c r="A14" s="9">
        <f t="shared" si="0"/>
        <v>8</v>
      </c>
      <c r="B14" s="21" t="s">
        <v>1154</v>
      </c>
      <c r="C14" s="22" t="s">
        <v>284</v>
      </c>
      <c r="D14" s="40" t="s">
        <v>1772</v>
      </c>
      <c r="E14" s="35" t="s">
        <v>944</v>
      </c>
      <c r="F14" s="35" t="s">
        <v>541</v>
      </c>
      <c r="G14" s="17" t="s">
        <v>2929</v>
      </c>
      <c r="H14" s="13" t="s">
        <v>2243</v>
      </c>
      <c r="I14" s="35" t="s">
        <v>2204</v>
      </c>
      <c r="J14" s="83" t="str">
        <f t="shared" si="1"/>
        <v>Nguyễn Thị Kim</v>
      </c>
      <c r="K14" s="8" t="str">
        <f t="shared" si="1"/>
        <v>Ngân</v>
      </c>
    </row>
    <row r="15" spans="1:13" s="8" customFormat="1" ht="21.75" customHeight="1">
      <c r="A15" s="9">
        <f t="shared" si="0"/>
        <v>9</v>
      </c>
      <c r="B15" s="21" t="s">
        <v>1618</v>
      </c>
      <c r="C15" s="22" t="s">
        <v>315</v>
      </c>
      <c r="D15" s="40" t="s">
        <v>1563</v>
      </c>
      <c r="E15" s="35" t="s">
        <v>1288</v>
      </c>
      <c r="F15" s="35" t="s">
        <v>556</v>
      </c>
      <c r="G15" s="17" t="s">
        <v>2921</v>
      </c>
      <c r="H15" s="13" t="s">
        <v>2359</v>
      </c>
      <c r="I15" s="35" t="s">
        <v>2204</v>
      </c>
      <c r="J15" s="83" t="str">
        <f t="shared" si="1"/>
        <v>Nguyễn Thị Yến</v>
      </c>
      <c r="K15" s="8" t="str">
        <f t="shared" si="1"/>
        <v>Nhi</v>
      </c>
    </row>
    <row r="16" spans="1:13" s="8" customFormat="1" ht="21.75" customHeight="1">
      <c r="A16" s="9">
        <f t="shared" si="0"/>
        <v>10</v>
      </c>
      <c r="B16" s="21" t="s">
        <v>2260</v>
      </c>
      <c r="C16" s="22" t="s">
        <v>97</v>
      </c>
      <c r="D16" s="40" t="s">
        <v>2267</v>
      </c>
      <c r="E16" s="35" t="s">
        <v>2926</v>
      </c>
      <c r="F16" s="35" t="s">
        <v>553</v>
      </c>
      <c r="G16" s="17" t="s">
        <v>2927</v>
      </c>
      <c r="H16" s="13" t="s">
        <v>2243</v>
      </c>
      <c r="I16" s="35" t="s">
        <v>2204</v>
      </c>
      <c r="J16" s="83" t="str">
        <f t="shared" si="1"/>
        <v>Đoàn Ngọc Ánh</v>
      </c>
      <c r="K16" s="8" t="str">
        <f t="shared" si="1"/>
        <v>Phương</v>
      </c>
    </row>
    <row r="17" spans="1:11" s="8" customFormat="1" ht="21.75" customHeight="1">
      <c r="A17" s="9">
        <f t="shared" si="0"/>
        <v>11</v>
      </c>
      <c r="B17" s="21" t="s">
        <v>1722</v>
      </c>
      <c r="C17" s="22" t="s">
        <v>399</v>
      </c>
      <c r="D17" s="40" t="s">
        <v>2564</v>
      </c>
      <c r="E17" s="35" t="s">
        <v>748</v>
      </c>
      <c r="F17" s="35" t="s">
        <v>541</v>
      </c>
      <c r="G17" s="17" t="s">
        <v>2890</v>
      </c>
      <c r="H17" s="13" t="s">
        <v>2072</v>
      </c>
      <c r="I17" s="35" t="s">
        <v>2204</v>
      </c>
      <c r="J17" s="83" t="str">
        <f t="shared" ref="J17:J33" si="2">PROPER(B17)</f>
        <v>Nguyễn Hữu</v>
      </c>
      <c r="K17" s="8" t="str">
        <f>PROPER(ĐD18A1!C45)</f>
        <v>Diệu</v>
      </c>
    </row>
    <row r="18" spans="1:11" s="8" customFormat="1" ht="21.75" customHeight="1">
      <c r="A18" s="9">
        <f t="shared" si="0"/>
        <v>12</v>
      </c>
      <c r="B18" s="21" t="s">
        <v>1251</v>
      </c>
      <c r="C18" s="22" t="s">
        <v>399</v>
      </c>
      <c r="D18" s="40" t="s">
        <v>1129</v>
      </c>
      <c r="E18" s="35" t="s">
        <v>2896</v>
      </c>
      <c r="F18" s="35" t="s">
        <v>573</v>
      </c>
      <c r="G18" s="17" t="s">
        <v>2897</v>
      </c>
      <c r="H18" s="13" t="s">
        <v>2106</v>
      </c>
      <c r="I18" s="35" t="s">
        <v>2204</v>
      </c>
      <c r="J18" s="83" t="str">
        <f t="shared" si="2"/>
        <v>Nguyễn Gia</v>
      </c>
      <c r="K18" s="8" t="str">
        <f t="shared" ref="K18:K33" si="3">PROPER(C18)</f>
        <v>Thắng</v>
      </c>
    </row>
    <row r="19" spans="1:11" s="8" customFormat="1" ht="21.75" customHeight="1">
      <c r="A19" s="9">
        <f t="shared" si="0"/>
        <v>13</v>
      </c>
      <c r="B19" s="21" t="s">
        <v>2081</v>
      </c>
      <c r="C19" s="22" t="s">
        <v>312</v>
      </c>
      <c r="D19" s="40" t="s">
        <v>2085</v>
      </c>
      <c r="E19" s="35" t="s">
        <v>2403</v>
      </c>
      <c r="F19" s="35" t="s">
        <v>573</v>
      </c>
      <c r="G19" s="17" t="s">
        <v>2891</v>
      </c>
      <c r="H19" s="13" t="s">
        <v>2072</v>
      </c>
      <c r="I19" s="35" t="s">
        <v>3471</v>
      </c>
      <c r="J19" s="83" t="str">
        <f t="shared" si="2"/>
        <v>Võ Lê Bảo</v>
      </c>
      <c r="K19" s="8" t="str">
        <f t="shared" si="3"/>
        <v>Thi</v>
      </c>
    </row>
    <row r="20" spans="1:11" s="8" customFormat="1" ht="21.75" customHeight="1">
      <c r="A20" s="9">
        <f t="shared" si="0"/>
        <v>14</v>
      </c>
      <c r="B20" s="21" t="s">
        <v>2261</v>
      </c>
      <c r="C20" s="22" t="s">
        <v>498</v>
      </c>
      <c r="D20" s="40" t="s">
        <v>1775</v>
      </c>
      <c r="E20" s="35" t="s">
        <v>3173</v>
      </c>
      <c r="F20" s="35" t="s">
        <v>573</v>
      </c>
      <c r="G20" s="17" t="s">
        <v>3170</v>
      </c>
      <c r="H20" s="13" t="s">
        <v>2243</v>
      </c>
      <c r="I20" s="36" t="s">
        <v>3473</v>
      </c>
      <c r="J20" s="83" t="str">
        <f t="shared" si="2"/>
        <v>Nguyễn Hiếu</v>
      </c>
      <c r="K20" s="8" t="str">
        <f t="shared" si="3"/>
        <v>Thiên</v>
      </c>
    </row>
    <row r="21" spans="1:11" s="8" customFormat="1" ht="21.75" customHeight="1">
      <c r="A21" s="9">
        <f t="shared" si="0"/>
        <v>15</v>
      </c>
      <c r="B21" s="21" t="s">
        <v>2264</v>
      </c>
      <c r="C21" s="22" t="s">
        <v>257</v>
      </c>
      <c r="D21" s="40" t="s">
        <v>1227</v>
      </c>
      <c r="E21" s="35" t="s">
        <v>1158</v>
      </c>
      <c r="F21" s="35" t="s">
        <v>541</v>
      </c>
      <c r="G21" s="17" t="s">
        <v>2928</v>
      </c>
      <c r="H21" s="13" t="s">
        <v>2243</v>
      </c>
      <c r="I21" s="35" t="s">
        <v>2204</v>
      </c>
      <c r="J21" s="83" t="str">
        <f t="shared" si="2"/>
        <v>Trà Anh</v>
      </c>
      <c r="K21" s="8" t="str">
        <f t="shared" si="3"/>
        <v>Thư</v>
      </c>
    </row>
    <row r="22" spans="1:11" s="8" customFormat="1" ht="21.75" customHeight="1">
      <c r="A22" s="9">
        <f t="shared" si="0"/>
        <v>16</v>
      </c>
      <c r="B22" s="21" t="s">
        <v>2546</v>
      </c>
      <c r="C22" s="22" t="s">
        <v>135</v>
      </c>
      <c r="D22" s="40" t="s">
        <v>2384</v>
      </c>
      <c r="E22" s="35" t="s">
        <v>945</v>
      </c>
      <c r="F22" s="35" t="s">
        <v>541</v>
      </c>
      <c r="G22" s="17" t="s">
        <v>2923</v>
      </c>
      <c r="H22" s="13" t="s">
        <v>2359</v>
      </c>
      <c r="I22" s="35" t="s">
        <v>2204</v>
      </c>
      <c r="J22" s="83" t="str">
        <f t="shared" si="2"/>
        <v>Phan Tấn</v>
      </c>
      <c r="K22" s="8" t="str">
        <f t="shared" si="3"/>
        <v>Tình</v>
      </c>
    </row>
    <row r="23" spans="1:11" s="8" customFormat="1" ht="21.75" customHeight="1">
      <c r="A23" s="9">
        <f t="shared" si="0"/>
        <v>17</v>
      </c>
      <c r="B23" s="21" t="s">
        <v>2262</v>
      </c>
      <c r="C23" s="22" t="s">
        <v>470</v>
      </c>
      <c r="D23" s="40" t="s">
        <v>2268</v>
      </c>
      <c r="E23" s="35" t="s">
        <v>946</v>
      </c>
      <c r="F23" s="35" t="s">
        <v>573</v>
      </c>
      <c r="G23" s="17" t="s">
        <v>2916</v>
      </c>
      <c r="H23" s="13" t="s">
        <v>2243</v>
      </c>
      <c r="I23" s="35" t="s">
        <v>2204</v>
      </c>
      <c r="J23" s="83" t="str">
        <f t="shared" si="2"/>
        <v>Nguyễn Thảo</v>
      </c>
      <c r="K23" s="8" t="str">
        <f t="shared" si="3"/>
        <v>Vân</v>
      </c>
    </row>
    <row r="24" spans="1:11" s="8" customFormat="1" ht="21.75" customHeight="1">
      <c r="A24" s="9">
        <f t="shared" si="0"/>
        <v>18</v>
      </c>
      <c r="B24" s="21" t="s">
        <v>2380</v>
      </c>
      <c r="C24" s="22" t="s">
        <v>470</v>
      </c>
      <c r="D24" s="40" t="s">
        <v>2248</v>
      </c>
      <c r="E24" s="35" t="s">
        <v>3174</v>
      </c>
      <c r="F24" s="35" t="s">
        <v>785</v>
      </c>
      <c r="G24" s="17" t="s">
        <v>3172</v>
      </c>
      <c r="H24" s="13" t="s">
        <v>2359</v>
      </c>
      <c r="I24" s="36" t="s">
        <v>3473</v>
      </c>
      <c r="J24" s="83" t="str">
        <f t="shared" si="2"/>
        <v>Ngô Thị Kim</v>
      </c>
      <c r="K24" s="8" t="str">
        <f t="shared" si="3"/>
        <v>Vân</v>
      </c>
    </row>
    <row r="25" spans="1:11" s="8" customFormat="1" ht="21.75" customHeight="1">
      <c r="A25" s="9">
        <f t="shared" si="0"/>
        <v>19</v>
      </c>
      <c r="B25" s="21" t="s">
        <v>2541</v>
      </c>
      <c r="C25" s="22" t="s">
        <v>284</v>
      </c>
      <c r="D25" s="40" t="s">
        <v>2544</v>
      </c>
      <c r="E25" s="35" t="s">
        <v>2918</v>
      </c>
      <c r="F25" s="35" t="s">
        <v>553</v>
      </c>
      <c r="G25" s="17" t="s">
        <v>2919</v>
      </c>
      <c r="H25" s="13" t="s">
        <v>2531</v>
      </c>
      <c r="I25" s="35" t="s">
        <v>2204</v>
      </c>
      <c r="J25" s="83" t="str">
        <f t="shared" si="2"/>
        <v>Nguyễn Thụy Kiều</v>
      </c>
      <c r="K25" s="8" t="str">
        <f t="shared" si="3"/>
        <v>Ngân</v>
      </c>
    </row>
    <row r="26" spans="1:11" s="8" customFormat="1" ht="21.75" customHeight="1">
      <c r="A26" s="9">
        <f t="shared" si="0"/>
        <v>20</v>
      </c>
      <c r="B26" s="21" t="s">
        <v>2542</v>
      </c>
      <c r="C26" s="22" t="s">
        <v>351</v>
      </c>
      <c r="D26" s="41">
        <v>39758</v>
      </c>
      <c r="E26" s="35" t="s">
        <v>732</v>
      </c>
      <c r="F26" s="35" t="s">
        <v>556</v>
      </c>
      <c r="G26" s="17" t="s">
        <v>2753</v>
      </c>
      <c r="H26" s="13" t="s">
        <v>2531</v>
      </c>
      <c r="I26" s="35" t="s">
        <v>2204</v>
      </c>
      <c r="J26" s="83" t="str">
        <f t="shared" si="2"/>
        <v>Siu Di</v>
      </c>
      <c r="K26" s="8" t="str">
        <f t="shared" si="3"/>
        <v>Na</v>
      </c>
    </row>
    <row r="27" spans="1:11" s="8" customFormat="1" ht="21.75" customHeight="1">
      <c r="A27" s="9">
        <f t="shared" si="0"/>
        <v>21</v>
      </c>
      <c r="B27" s="21" t="s">
        <v>2543</v>
      </c>
      <c r="C27" s="22" t="s">
        <v>1421</v>
      </c>
      <c r="D27" s="40" t="s">
        <v>1615</v>
      </c>
      <c r="E27" s="35" t="s">
        <v>1389</v>
      </c>
      <c r="F27" s="35" t="s">
        <v>541</v>
      </c>
      <c r="G27" s="17" t="s">
        <v>2913</v>
      </c>
      <c r="H27" s="13" t="s">
        <v>2531</v>
      </c>
      <c r="I27" s="35" t="s">
        <v>2221</v>
      </c>
      <c r="J27" s="83" t="str">
        <f t="shared" si="2"/>
        <v>Võ Thị Thanh</v>
      </c>
      <c r="K27" s="8" t="str">
        <f t="shared" si="3"/>
        <v>Tâm</v>
      </c>
    </row>
    <row r="28" spans="1:11" s="8" customFormat="1" ht="21.75" customHeight="1">
      <c r="A28" s="9">
        <f t="shared" si="0"/>
        <v>22</v>
      </c>
      <c r="B28" s="21" t="s">
        <v>2568</v>
      </c>
      <c r="C28" s="22" t="s">
        <v>294</v>
      </c>
      <c r="D28" s="40" t="s">
        <v>2569</v>
      </c>
      <c r="E28" s="35" t="s">
        <v>2914</v>
      </c>
      <c r="F28" s="35" t="s">
        <v>556</v>
      </c>
      <c r="G28" s="17" t="s">
        <v>2915</v>
      </c>
      <c r="H28" s="13" t="s">
        <v>2557</v>
      </c>
      <c r="I28" s="35" t="s">
        <v>2204</v>
      </c>
      <c r="J28" s="83" t="str">
        <f t="shared" si="2"/>
        <v>Nông Thị Hà</v>
      </c>
      <c r="K28" s="8" t="str">
        <f t="shared" si="3"/>
        <v>Linh</v>
      </c>
    </row>
    <row r="29" spans="1:11" s="8" customFormat="1" ht="21.75" customHeight="1">
      <c r="A29" s="9">
        <f t="shared" si="0"/>
        <v>23</v>
      </c>
      <c r="B29" s="21" t="s">
        <v>2659</v>
      </c>
      <c r="C29" s="22" t="s">
        <v>66</v>
      </c>
      <c r="D29" s="40" t="s">
        <v>2663</v>
      </c>
      <c r="E29" s="35" t="s">
        <v>717</v>
      </c>
      <c r="F29" s="35" t="s">
        <v>544</v>
      </c>
      <c r="G29" s="17" t="s">
        <v>3171</v>
      </c>
      <c r="H29" s="13" t="s">
        <v>2640</v>
      </c>
      <c r="I29" s="35" t="s">
        <v>2204</v>
      </c>
      <c r="J29" s="83" t="str">
        <f t="shared" si="2"/>
        <v>Nguyễn Trọng Minh</v>
      </c>
      <c r="K29" s="8" t="str">
        <f t="shared" si="3"/>
        <v>Đức</v>
      </c>
    </row>
    <row r="30" spans="1:11" s="8" customFormat="1" ht="21.75" customHeight="1">
      <c r="A30" s="9">
        <f t="shared" si="0"/>
        <v>24</v>
      </c>
      <c r="B30" s="21" t="s">
        <v>2660</v>
      </c>
      <c r="C30" s="22" t="s">
        <v>183</v>
      </c>
      <c r="D30" s="40" t="s">
        <v>1190</v>
      </c>
      <c r="E30" s="35" t="s">
        <v>711</v>
      </c>
      <c r="F30" s="35" t="s">
        <v>541</v>
      </c>
      <c r="G30" s="17" t="s">
        <v>2912</v>
      </c>
      <c r="H30" s="13" t="s">
        <v>2640</v>
      </c>
      <c r="I30" s="35" t="s">
        <v>2204</v>
      </c>
      <c r="J30" s="83" t="str">
        <f t="shared" si="2"/>
        <v>Trần Thị Thanh</v>
      </c>
      <c r="K30" s="8" t="str">
        <f t="shared" si="3"/>
        <v>Thảo</v>
      </c>
    </row>
    <row r="31" spans="1:11" s="8" customFormat="1" ht="21.75" customHeight="1">
      <c r="A31" s="9">
        <f t="shared" si="0"/>
        <v>25</v>
      </c>
      <c r="B31" s="21" t="s">
        <v>2661</v>
      </c>
      <c r="C31" s="22" t="s">
        <v>294</v>
      </c>
      <c r="D31" s="40" t="s">
        <v>3040</v>
      </c>
      <c r="E31" s="35" t="s">
        <v>1012</v>
      </c>
      <c r="F31" s="35" t="s">
        <v>544</v>
      </c>
      <c r="G31" s="17" t="s">
        <v>2911</v>
      </c>
      <c r="H31" s="13" t="s">
        <v>2640</v>
      </c>
      <c r="I31" s="35" t="s">
        <v>2331</v>
      </c>
      <c r="J31" s="83" t="str">
        <f t="shared" si="2"/>
        <v>Vi Thị Thái Thùy</v>
      </c>
      <c r="K31" s="8" t="str">
        <f t="shared" si="3"/>
        <v>Linh</v>
      </c>
    </row>
    <row r="32" spans="1:11" s="8" customFormat="1" ht="21.75" customHeight="1">
      <c r="A32" s="9">
        <f t="shared" si="0"/>
        <v>26</v>
      </c>
      <c r="B32" s="21" t="s">
        <v>2662</v>
      </c>
      <c r="C32" s="22" t="s">
        <v>257</v>
      </c>
      <c r="D32" s="40" t="s">
        <v>1332</v>
      </c>
      <c r="E32" s="35" t="s">
        <v>621</v>
      </c>
      <c r="F32" s="35" t="s">
        <v>544</v>
      </c>
      <c r="G32" s="17">
        <v>338830223</v>
      </c>
      <c r="H32" s="13" t="s">
        <v>2640</v>
      </c>
      <c r="I32" s="35" t="s">
        <v>2208</v>
      </c>
      <c r="J32" s="83" t="str">
        <f t="shared" si="2"/>
        <v>Phan Ngọc Anh</v>
      </c>
      <c r="K32" s="8" t="str">
        <f t="shared" si="3"/>
        <v>Thư</v>
      </c>
    </row>
    <row r="33" spans="1:11" s="8" customFormat="1" ht="21.75" customHeight="1">
      <c r="A33" s="9">
        <f t="shared" si="0"/>
        <v>27</v>
      </c>
      <c r="B33" s="21" t="s">
        <v>2810</v>
      </c>
      <c r="C33" s="22" t="s">
        <v>271</v>
      </c>
      <c r="D33" s="41">
        <v>39736</v>
      </c>
      <c r="E33" s="35" t="s">
        <v>1158</v>
      </c>
      <c r="F33" s="35" t="s">
        <v>541</v>
      </c>
      <c r="G33" s="17" t="s">
        <v>2864</v>
      </c>
      <c r="H33" s="13" t="s">
        <v>2806</v>
      </c>
      <c r="I33" s="35" t="s">
        <v>2204</v>
      </c>
      <c r="J33" s="83" t="str">
        <f t="shared" si="2"/>
        <v>Bùi Thị Diệu</v>
      </c>
      <c r="K33" s="8" t="str">
        <f t="shared" si="3"/>
        <v>Hiền</v>
      </c>
    </row>
    <row r="34" spans="1:11" s="8" customFormat="1" ht="21.75" customHeight="1">
      <c r="A34" s="9">
        <f t="shared" si="0"/>
        <v>28</v>
      </c>
      <c r="B34" s="21" t="s">
        <v>1250</v>
      </c>
      <c r="C34" s="22" t="s">
        <v>1421</v>
      </c>
      <c r="D34" s="41" t="s">
        <v>2122</v>
      </c>
      <c r="E34" s="35" t="s">
        <v>676</v>
      </c>
      <c r="F34" s="35" t="s">
        <v>541</v>
      </c>
      <c r="G34" s="17" t="s">
        <v>2910</v>
      </c>
      <c r="H34" s="13" t="s">
        <v>2844</v>
      </c>
      <c r="I34" s="35" t="s">
        <v>2215</v>
      </c>
      <c r="J34" s="83" t="str">
        <f t="shared" ref="J34:K42" si="4">PROPER(B34)</f>
        <v>Nguyễn Thị Thanh</v>
      </c>
      <c r="K34" s="8" t="str">
        <f t="shared" si="4"/>
        <v>Tâm</v>
      </c>
    </row>
    <row r="35" spans="1:11" s="8" customFormat="1" ht="21.75" customHeight="1">
      <c r="A35" s="9">
        <f t="shared" si="0"/>
        <v>29</v>
      </c>
      <c r="B35" s="21" t="s">
        <v>2855</v>
      </c>
      <c r="C35" s="22" t="s">
        <v>2856</v>
      </c>
      <c r="D35" s="41" t="s">
        <v>2122</v>
      </c>
      <c r="E35" s="35" t="s">
        <v>2908</v>
      </c>
      <c r="F35" s="35" t="s">
        <v>556</v>
      </c>
      <c r="G35" s="17" t="s">
        <v>2909</v>
      </c>
      <c r="H35" s="13" t="s">
        <v>2844</v>
      </c>
      <c r="I35" s="35" t="s">
        <v>3472</v>
      </c>
      <c r="J35" s="83" t="str">
        <f t="shared" si="4"/>
        <v>Rah Lan H'</v>
      </c>
      <c r="K35" s="8" t="str">
        <f t="shared" si="4"/>
        <v>Măng</v>
      </c>
    </row>
    <row r="36" spans="1:11" s="8" customFormat="1" ht="21.75" customHeight="1">
      <c r="A36" s="9">
        <f t="shared" si="0"/>
        <v>30</v>
      </c>
      <c r="B36" s="21" t="s">
        <v>2857</v>
      </c>
      <c r="C36" s="22" t="s">
        <v>31</v>
      </c>
      <c r="D36" s="41" t="s">
        <v>2122</v>
      </c>
      <c r="E36" s="35" t="s">
        <v>592</v>
      </c>
      <c r="F36" s="35" t="s">
        <v>541</v>
      </c>
      <c r="G36" s="17" t="s">
        <v>2907</v>
      </c>
      <c r="H36" s="13" t="s">
        <v>2844</v>
      </c>
      <c r="I36" s="35" t="s">
        <v>2204</v>
      </c>
      <c r="J36" s="83" t="str">
        <f t="shared" si="4"/>
        <v>Võ Mai Thiên</v>
      </c>
      <c r="K36" s="8" t="str">
        <f t="shared" si="4"/>
        <v>Thanh</v>
      </c>
    </row>
    <row r="37" spans="1:11" s="8" customFormat="1" ht="21.75" customHeight="1">
      <c r="A37" s="9">
        <f t="shared" si="0"/>
        <v>31</v>
      </c>
      <c r="B37" s="21" t="s">
        <v>536</v>
      </c>
      <c r="C37" s="22" t="s">
        <v>331</v>
      </c>
      <c r="D37" s="41" t="s">
        <v>2859</v>
      </c>
      <c r="E37" s="35" t="s">
        <v>943</v>
      </c>
      <c r="F37" s="35" t="s">
        <v>556</v>
      </c>
      <c r="G37" s="17" t="s">
        <v>3086</v>
      </c>
      <c r="H37" s="13" t="s">
        <v>2844</v>
      </c>
      <c r="I37" s="35" t="s">
        <v>2204</v>
      </c>
      <c r="J37" s="83" t="str">
        <f t="shared" si="4"/>
        <v>Nguyễn Anh</v>
      </c>
      <c r="K37" s="8" t="str">
        <f t="shared" si="4"/>
        <v>Ngọc</v>
      </c>
    </row>
    <row r="38" spans="1:11" s="8" customFormat="1" ht="21.75" customHeight="1">
      <c r="A38" s="9">
        <f t="shared" si="0"/>
        <v>32</v>
      </c>
      <c r="B38" s="21" t="s">
        <v>2941</v>
      </c>
      <c r="C38" s="22" t="s">
        <v>183</v>
      </c>
      <c r="D38" s="41" t="s">
        <v>2944</v>
      </c>
      <c r="E38" s="35" t="s">
        <v>629</v>
      </c>
      <c r="F38" s="35" t="s">
        <v>541</v>
      </c>
      <c r="G38" s="17" t="s">
        <v>3113</v>
      </c>
      <c r="H38" s="13" t="s">
        <v>2841</v>
      </c>
      <c r="I38" s="35" t="s">
        <v>3468</v>
      </c>
      <c r="J38" s="83" t="str">
        <f t="shared" si="4"/>
        <v>Dư Hồ Phương</v>
      </c>
      <c r="K38" s="8" t="str">
        <f t="shared" si="4"/>
        <v>Thảo</v>
      </c>
    </row>
    <row r="39" spans="1:11" s="8" customFormat="1" ht="21.75" customHeight="1">
      <c r="A39" s="9">
        <f t="shared" si="0"/>
        <v>33</v>
      </c>
      <c r="B39" s="21" t="s">
        <v>2942</v>
      </c>
      <c r="C39" s="22" t="s">
        <v>294</v>
      </c>
      <c r="D39" s="41" t="s">
        <v>1596</v>
      </c>
      <c r="E39" s="35" t="s">
        <v>3116</v>
      </c>
      <c r="F39" s="35" t="s">
        <v>573</v>
      </c>
      <c r="G39" s="17" t="s">
        <v>3117</v>
      </c>
      <c r="H39" s="13" t="s">
        <v>2841</v>
      </c>
      <c r="I39" s="35" t="s">
        <v>2204</v>
      </c>
      <c r="J39" s="83" t="str">
        <f t="shared" si="4"/>
        <v>Phạm Thị Hồng</v>
      </c>
      <c r="K39" s="8" t="str">
        <f t="shared" si="4"/>
        <v>Linh</v>
      </c>
    </row>
    <row r="40" spans="1:11" s="8" customFormat="1" ht="21.75" customHeight="1">
      <c r="A40" s="9">
        <f t="shared" si="0"/>
        <v>34</v>
      </c>
      <c r="B40" s="21" t="s">
        <v>2943</v>
      </c>
      <c r="C40" s="22" t="s">
        <v>315</v>
      </c>
      <c r="D40" s="41" t="s">
        <v>2945</v>
      </c>
      <c r="E40" s="35" t="s">
        <v>592</v>
      </c>
      <c r="F40" s="35" t="s">
        <v>541</v>
      </c>
      <c r="G40" s="17" t="s">
        <v>3175</v>
      </c>
      <c r="H40" s="13" t="s">
        <v>2841</v>
      </c>
      <c r="I40" s="36" t="s">
        <v>3473</v>
      </c>
      <c r="J40" s="83" t="str">
        <f t="shared" si="4"/>
        <v>Nguyễn Ngọc Bảo</v>
      </c>
      <c r="K40" s="8" t="str">
        <f t="shared" si="4"/>
        <v>Nhi</v>
      </c>
    </row>
    <row r="41" spans="1:11" s="8" customFormat="1" ht="21.75" customHeight="1">
      <c r="A41" s="9">
        <f t="shared" si="0"/>
        <v>35</v>
      </c>
      <c r="B41" s="21" t="s">
        <v>3027</v>
      </c>
      <c r="C41" s="22" t="s">
        <v>17</v>
      </c>
      <c r="D41" s="209">
        <v>39476</v>
      </c>
      <c r="E41" s="35" t="s">
        <v>592</v>
      </c>
      <c r="F41" s="35" t="s">
        <v>541</v>
      </c>
      <c r="G41" s="17" t="s">
        <v>3045</v>
      </c>
      <c r="H41" s="13" t="s">
        <v>2806</v>
      </c>
      <c r="I41" s="35" t="s">
        <v>2204</v>
      </c>
      <c r="J41" s="83" t="str">
        <f t="shared" si="4"/>
        <v>Nguyễn Huy</v>
      </c>
      <c r="K41" s="8" t="str">
        <f t="shared" si="4"/>
        <v>Hoàng</v>
      </c>
    </row>
    <row r="42" spans="1:11" s="8" customFormat="1" ht="21.75" customHeight="1">
      <c r="A42" s="9">
        <f t="shared" si="0"/>
        <v>36</v>
      </c>
      <c r="B42" s="21" t="s">
        <v>1451</v>
      </c>
      <c r="C42" s="22" t="s">
        <v>277</v>
      </c>
      <c r="D42" s="209" t="s">
        <v>1662</v>
      </c>
      <c r="E42" s="35" t="s">
        <v>3066</v>
      </c>
      <c r="F42" s="35" t="s">
        <v>631</v>
      </c>
      <c r="G42" s="17" t="s">
        <v>3067</v>
      </c>
      <c r="H42" s="13" t="s">
        <v>3029</v>
      </c>
      <c r="I42" s="35" t="s">
        <v>2315</v>
      </c>
      <c r="J42" s="83" t="str">
        <f t="shared" si="4"/>
        <v>Nguyễn Ngọc</v>
      </c>
      <c r="K42" s="8" t="str">
        <f t="shared" si="4"/>
        <v>Như</v>
      </c>
    </row>
    <row r="43" spans="1:11" s="8" customFormat="1" ht="21.75" customHeight="1">
      <c r="A43" s="9">
        <f t="shared" si="0"/>
        <v>37</v>
      </c>
      <c r="B43" s="21" t="s">
        <v>3058</v>
      </c>
      <c r="C43" s="22" t="s">
        <v>436</v>
      </c>
      <c r="D43" s="209" t="s">
        <v>3060</v>
      </c>
      <c r="E43" s="35" t="s">
        <v>1286</v>
      </c>
      <c r="F43" s="35" t="s">
        <v>556</v>
      </c>
      <c r="G43" s="17" t="s">
        <v>3176</v>
      </c>
      <c r="H43" s="13" t="s">
        <v>3048</v>
      </c>
      <c r="I43" s="35" t="s">
        <v>2204</v>
      </c>
      <c r="J43" s="83" t="str">
        <f t="shared" ref="J43:J46" si="5">PROPER(B43)</f>
        <v>Nguyễn Thị Bảo</v>
      </c>
      <c r="K43" s="8" t="str">
        <f t="shared" ref="K43:K46" si="6">PROPER(C43)</f>
        <v>Trúc</v>
      </c>
    </row>
    <row r="44" spans="1:11" s="8" customFormat="1" ht="21.75" customHeight="1">
      <c r="A44" s="9">
        <f t="shared" si="0"/>
        <v>38</v>
      </c>
      <c r="B44" s="21" t="s">
        <v>3059</v>
      </c>
      <c r="C44" s="22" t="s">
        <v>216</v>
      </c>
      <c r="D44" s="209" t="s">
        <v>1355</v>
      </c>
      <c r="E44" s="35" t="s">
        <v>2836</v>
      </c>
      <c r="F44" s="35" t="s">
        <v>565</v>
      </c>
      <c r="G44" s="17" t="s">
        <v>3090</v>
      </c>
      <c r="H44" s="13" t="s">
        <v>3048</v>
      </c>
      <c r="I44" s="35" t="s">
        <v>3467</v>
      </c>
      <c r="J44" s="83" t="str">
        <f t="shared" si="5"/>
        <v>Trần Thị Thảo</v>
      </c>
      <c r="K44" s="8" t="str">
        <f t="shared" si="6"/>
        <v>Nguyên</v>
      </c>
    </row>
    <row r="45" spans="1:11" s="8" customFormat="1" ht="21.75" customHeight="1">
      <c r="A45" s="9">
        <f t="shared" si="0"/>
        <v>39</v>
      </c>
      <c r="B45" s="21" t="s">
        <v>3077</v>
      </c>
      <c r="C45" s="22" t="s">
        <v>183</v>
      </c>
      <c r="D45" s="209" t="s">
        <v>3078</v>
      </c>
      <c r="E45" s="35" t="s">
        <v>3153</v>
      </c>
      <c r="F45" s="35" t="s">
        <v>556</v>
      </c>
      <c r="G45" s="17" t="s">
        <v>3151</v>
      </c>
      <c r="H45" s="13" t="s">
        <v>3070</v>
      </c>
      <c r="I45" s="35" t="s">
        <v>2312</v>
      </c>
      <c r="J45" s="83" t="str">
        <f t="shared" si="5"/>
        <v>Đinh Thị</v>
      </c>
      <c r="K45" s="8" t="str">
        <f t="shared" si="6"/>
        <v>Thảo</v>
      </c>
    </row>
    <row r="46" spans="1:11" s="8" customFormat="1" ht="21.75" customHeight="1">
      <c r="A46" s="9">
        <f t="shared" si="0"/>
        <v>40</v>
      </c>
      <c r="B46" s="21" t="s">
        <v>1848</v>
      </c>
      <c r="C46" s="22" t="s">
        <v>1852</v>
      </c>
      <c r="D46" s="209" t="s">
        <v>1153</v>
      </c>
      <c r="E46" s="35" t="s">
        <v>705</v>
      </c>
      <c r="F46" s="35" t="s">
        <v>541</v>
      </c>
      <c r="G46" s="17" t="s">
        <v>3152</v>
      </c>
      <c r="H46" s="13" t="s">
        <v>3070</v>
      </c>
      <c r="I46" s="35" t="s">
        <v>2204</v>
      </c>
      <c r="J46" s="83" t="str">
        <f t="shared" si="5"/>
        <v>Huỳnh Phương</v>
      </c>
      <c r="K46" s="8" t="str">
        <f t="shared" si="6"/>
        <v>Trâm</v>
      </c>
    </row>
    <row r="47" spans="1:11" s="8" customFormat="1" ht="21.75" customHeight="1">
      <c r="A47" s="9">
        <f t="shared" si="0"/>
        <v>41</v>
      </c>
      <c r="B47" s="21" t="s">
        <v>3131</v>
      </c>
      <c r="C47" s="22" t="s">
        <v>259</v>
      </c>
      <c r="D47" s="243" t="s">
        <v>3053</v>
      </c>
      <c r="E47" s="35" t="s">
        <v>2914</v>
      </c>
      <c r="F47" s="35" t="s">
        <v>556</v>
      </c>
      <c r="G47" s="17" t="s">
        <v>3146</v>
      </c>
      <c r="H47" s="13" t="s">
        <v>3134</v>
      </c>
      <c r="I47" s="35" t="s">
        <v>2204</v>
      </c>
      <c r="J47" s="83" t="str">
        <f t="shared" ref="J47:J51" si="7">PROPER(B47)</f>
        <v>Trần Thị Ngọc</v>
      </c>
      <c r="K47" s="8" t="str">
        <f t="shared" ref="K47:K51" si="8">PROPER(C47)</f>
        <v>Trang</v>
      </c>
    </row>
    <row r="48" spans="1:11" s="8" customFormat="1" ht="21.75" customHeight="1">
      <c r="A48" s="9">
        <f t="shared" si="0"/>
        <v>42</v>
      </c>
      <c r="B48" s="21" t="s">
        <v>3132</v>
      </c>
      <c r="C48" s="22" t="s">
        <v>441</v>
      </c>
      <c r="D48" s="243" t="s">
        <v>3133</v>
      </c>
      <c r="E48" s="35" t="s">
        <v>693</v>
      </c>
      <c r="F48" s="35" t="s">
        <v>556</v>
      </c>
      <c r="G48" s="17" t="s">
        <v>3144</v>
      </c>
      <c r="H48" s="13" t="s">
        <v>3134</v>
      </c>
      <c r="I48" s="35" t="s">
        <v>2331</v>
      </c>
      <c r="J48" s="83" t="str">
        <f t="shared" si="7"/>
        <v>Kpuih</v>
      </c>
      <c r="K48" s="8" t="str">
        <f t="shared" si="8"/>
        <v>Luân</v>
      </c>
    </row>
    <row r="49" spans="1:11" s="8" customFormat="1" ht="21.75" customHeight="1">
      <c r="A49" s="9"/>
      <c r="B49" s="21"/>
      <c r="C49" s="22"/>
      <c r="D49" s="209"/>
      <c r="E49" s="35"/>
      <c r="F49" s="35"/>
      <c r="G49" s="17"/>
      <c r="H49" s="13"/>
      <c r="I49" s="35"/>
      <c r="J49" s="83" t="str">
        <f t="shared" si="7"/>
        <v/>
      </c>
      <c r="K49" s="8" t="str">
        <f t="shared" si="8"/>
        <v/>
      </c>
    </row>
    <row r="50" spans="1:11" s="8" customFormat="1" ht="21.75" customHeight="1">
      <c r="A50" s="9"/>
      <c r="B50" s="21"/>
      <c r="C50" s="22"/>
      <c r="D50" s="209"/>
      <c r="E50" s="35"/>
      <c r="F50" s="35"/>
      <c r="G50" s="17"/>
      <c r="H50" s="13"/>
      <c r="I50" s="35"/>
      <c r="J50" s="83" t="str">
        <f t="shared" si="7"/>
        <v/>
      </c>
      <c r="K50" s="8" t="str">
        <f t="shared" si="8"/>
        <v/>
      </c>
    </row>
    <row r="51" spans="1:11" s="8" customFormat="1" ht="21.75" customHeight="1">
      <c r="A51" s="9"/>
      <c r="B51" s="21"/>
      <c r="C51" s="22"/>
      <c r="D51" s="209"/>
      <c r="E51" s="35"/>
      <c r="F51" s="35"/>
      <c r="G51" s="17"/>
      <c r="H51" s="13"/>
      <c r="I51" s="35"/>
      <c r="J51" s="83" t="str">
        <f t="shared" si="7"/>
        <v/>
      </c>
      <c r="K51" s="8" t="str">
        <f t="shared" si="8"/>
        <v/>
      </c>
    </row>
    <row r="52" spans="1:11" s="8" customFormat="1" ht="21.75" customHeight="1">
      <c r="A52" s="9"/>
      <c r="B52" s="21"/>
      <c r="C52" s="22"/>
      <c r="D52" s="209"/>
      <c r="E52" s="35"/>
      <c r="F52" s="35"/>
      <c r="G52" s="17"/>
      <c r="H52" s="13"/>
      <c r="I52" s="35"/>
      <c r="J52" s="83"/>
    </row>
    <row r="53" spans="1:11" s="8" customFormat="1" ht="21.75" customHeight="1">
      <c r="A53" s="9"/>
      <c r="B53" s="21"/>
      <c r="C53" s="22"/>
      <c r="D53" s="209"/>
      <c r="E53" s="35"/>
      <c r="F53" s="35"/>
      <c r="G53" s="17"/>
      <c r="H53" s="13"/>
      <c r="I53" s="35"/>
      <c r="J53" s="83"/>
    </row>
  </sheetData>
  <sortState ref="B7:H26">
    <sortCondition ref="C7:C26"/>
  </sortState>
  <mergeCells count="8">
    <mergeCell ref="B6:C6"/>
    <mergeCell ref="E6:F6"/>
    <mergeCell ref="A1:D1"/>
    <mergeCell ref="E1:H1"/>
    <mergeCell ref="A2:D2"/>
    <mergeCell ref="E2:H2"/>
    <mergeCell ref="A4:H4"/>
    <mergeCell ref="A5:H5"/>
  </mergeCells>
  <pageMargins left="0.2" right="0.2" top="0.38" bottom="0.28999999999999998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opLeftCell="A13" workbookViewId="0">
      <selection activeCell="L20" sqref="L20"/>
    </sheetView>
  </sheetViews>
  <sheetFormatPr defaultRowHeight="15"/>
  <cols>
    <col min="1" max="1" width="5.28515625" style="1" customWidth="1"/>
    <col min="2" max="2" width="19.140625" style="1" customWidth="1"/>
    <col min="3" max="3" width="7.7109375" style="1" customWidth="1"/>
    <col min="4" max="4" width="9.85546875" style="1" customWidth="1"/>
    <col min="5" max="5" width="18.28515625" style="42" customWidth="1"/>
    <col min="6" max="6" width="14" style="42" customWidth="1"/>
    <col min="7" max="7" width="12.140625" style="1" customWidth="1"/>
    <col min="8" max="9" width="23.5703125" style="1" customWidth="1"/>
    <col min="10" max="10" width="20.42578125" style="1" customWidth="1"/>
    <col min="11" max="16384" width="9.140625" style="1"/>
  </cols>
  <sheetData>
    <row r="1" spans="1:9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  <c r="I1" s="189"/>
    </row>
    <row r="2" spans="1:9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  <c r="I2" s="189"/>
    </row>
    <row r="3" spans="1:9" ht="15.75" customHeight="1">
      <c r="A3" s="2"/>
      <c r="B3" s="3"/>
      <c r="C3" s="3"/>
      <c r="D3" s="3"/>
    </row>
    <row r="4" spans="1:9" ht="15.75" customHeight="1">
      <c r="A4" s="308" t="s">
        <v>10</v>
      </c>
      <c r="B4" s="308"/>
      <c r="C4" s="308"/>
      <c r="D4" s="308"/>
      <c r="E4" s="308"/>
      <c r="F4" s="308"/>
      <c r="G4" s="308"/>
      <c r="H4" s="308"/>
      <c r="I4" s="190"/>
    </row>
    <row r="5" spans="1:9" s="4" customFormat="1" ht="23.25" customHeight="1">
      <c r="A5" s="309" t="s">
        <v>2571</v>
      </c>
      <c r="B5" s="309"/>
      <c r="C5" s="309"/>
      <c r="D5" s="309"/>
      <c r="E5" s="309"/>
      <c r="F5" s="309"/>
      <c r="G5" s="309"/>
      <c r="H5" s="309"/>
      <c r="I5" s="191"/>
    </row>
    <row r="6" spans="1:9" s="8" customFormat="1" ht="45.75" customHeight="1">
      <c r="A6" s="5" t="s">
        <v>4</v>
      </c>
      <c r="B6" s="302" t="s">
        <v>5</v>
      </c>
      <c r="C6" s="303"/>
      <c r="D6" s="6" t="s">
        <v>6</v>
      </c>
      <c r="E6" s="304" t="s">
        <v>11</v>
      </c>
      <c r="F6" s="305"/>
      <c r="G6" s="20" t="s">
        <v>226</v>
      </c>
      <c r="H6" s="7" t="s">
        <v>7</v>
      </c>
      <c r="I6" s="7" t="s">
        <v>2219</v>
      </c>
    </row>
    <row r="7" spans="1:9" s="8" customFormat="1" ht="21.75" customHeight="1">
      <c r="A7" s="9">
        <f>ROW()-6</f>
        <v>1</v>
      </c>
      <c r="B7" s="26" t="s">
        <v>405</v>
      </c>
      <c r="C7" s="27" t="s">
        <v>70</v>
      </c>
      <c r="D7" s="12">
        <v>39726</v>
      </c>
      <c r="E7" s="35" t="s">
        <v>564</v>
      </c>
      <c r="F7" s="35" t="s">
        <v>565</v>
      </c>
      <c r="G7" s="17" t="s">
        <v>566</v>
      </c>
      <c r="H7" s="13" t="s">
        <v>567</v>
      </c>
      <c r="I7" s="201" t="s">
        <v>2204</v>
      </c>
    </row>
    <row r="8" spans="1:9" s="8" customFormat="1" ht="21.75" customHeight="1">
      <c r="A8" s="9">
        <f t="shared" ref="A8:A46" si="0">ROW()-6</f>
        <v>2</v>
      </c>
      <c r="B8" s="21" t="s">
        <v>1235</v>
      </c>
      <c r="C8" s="22" t="s">
        <v>55</v>
      </c>
      <c r="D8" s="12" t="s">
        <v>1241</v>
      </c>
      <c r="E8" s="35" t="s">
        <v>1735</v>
      </c>
      <c r="F8" s="35" t="s">
        <v>541</v>
      </c>
      <c r="G8" s="17" t="s">
        <v>1736</v>
      </c>
      <c r="H8" s="36" t="s">
        <v>2102</v>
      </c>
      <c r="I8" s="199" t="s">
        <v>2204</v>
      </c>
    </row>
    <row r="9" spans="1:9" s="8" customFormat="1" ht="21.75" customHeight="1">
      <c r="A9" s="9">
        <f t="shared" si="0"/>
        <v>3</v>
      </c>
      <c r="B9" s="21" t="s">
        <v>1835</v>
      </c>
      <c r="C9" s="22" t="s">
        <v>447</v>
      </c>
      <c r="D9" s="12">
        <v>39723</v>
      </c>
      <c r="E9" s="35" t="s">
        <v>579</v>
      </c>
      <c r="F9" s="35" t="s">
        <v>541</v>
      </c>
      <c r="G9" s="17" t="s">
        <v>2965</v>
      </c>
      <c r="H9" s="13" t="s">
        <v>1833</v>
      </c>
      <c r="I9" s="201" t="s">
        <v>2207</v>
      </c>
    </row>
    <row r="10" spans="1:9" s="8" customFormat="1" ht="21.75" customHeight="1">
      <c r="A10" s="9">
        <f t="shared" si="0"/>
        <v>4</v>
      </c>
      <c r="B10" s="21" t="s">
        <v>293</v>
      </c>
      <c r="C10" s="22" t="s">
        <v>359</v>
      </c>
      <c r="D10" s="12">
        <v>39454</v>
      </c>
      <c r="E10" s="35" t="s">
        <v>1044</v>
      </c>
      <c r="F10" s="35" t="s">
        <v>573</v>
      </c>
      <c r="G10" s="17" t="s">
        <v>2289</v>
      </c>
      <c r="H10" s="33" t="s">
        <v>2392</v>
      </c>
      <c r="I10" s="201" t="s">
        <v>2204</v>
      </c>
    </row>
    <row r="11" spans="1:9" s="8" customFormat="1" ht="21.75" customHeight="1">
      <c r="A11" s="9">
        <f t="shared" si="0"/>
        <v>5</v>
      </c>
      <c r="B11" s="21" t="s">
        <v>1139</v>
      </c>
      <c r="C11" s="22" t="s">
        <v>232</v>
      </c>
      <c r="D11" s="12">
        <v>39712</v>
      </c>
      <c r="E11" s="35" t="s">
        <v>999</v>
      </c>
      <c r="F11" s="35" t="s">
        <v>556</v>
      </c>
      <c r="G11" s="17" t="s">
        <v>2277</v>
      </c>
      <c r="H11" s="13"/>
      <c r="I11" s="201" t="s">
        <v>2204</v>
      </c>
    </row>
    <row r="12" spans="1:9" s="8" customFormat="1" ht="21.75" customHeight="1">
      <c r="A12" s="9">
        <f t="shared" si="0"/>
        <v>6</v>
      </c>
      <c r="B12" s="21" t="s">
        <v>258</v>
      </c>
      <c r="C12" s="22" t="s">
        <v>413</v>
      </c>
      <c r="D12" s="12">
        <v>39655</v>
      </c>
      <c r="E12" s="35" t="s">
        <v>2998</v>
      </c>
      <c r="F12" s="35" t="s">
        <v>556</v>
      </c>
      <c r="G12" s="17" t="s">
        <v>1037</v>
      </c>
      <c r="H12" s="13"/>
      <c r="I12" s="201" t="s">
        <v>2204</v>
      </c>
    </row>
    <row r="13" spans="1:9" s="8" customFormat="1" ht="21.75" customHeight="1">
      <c r="A13" s="9">
        <f t="shared" si="0"/>
        <v>7</v>
      </c>
      <c r="B13" s="21" t="s">
        <v>393</v>
      </c>
      <c r="C13" s="22" t="s">
        <v>60</v>
      </c>
      <c r="D13" s="12">
        <v>39489</v>
      </c>
      <c r="E13" s="35" t="s">
        <v>570</v>
      </c>
      <c r="F13" s="35" t="s">
        <v>541</v>
      </c>
      <c r="G13" s="45" t="s">
        <v>571</v>
      </c>
      <c r="H13" s="13" t="s">
        <v>578</v>
      </c>
      <c r="I13" s="201" t="s">
        <v>2204</v>
      </c>
    </row>
    <row r="14" spans="1:9" s="8" customFormat="1" ht="21.75" customHeight="1">
      <c r="A14" s="9">
        <f t="shared" si="0"/>
        <v>8</v>
      </c>
      <c r="B14" s="21" t="s">
        <v>1276</v>
      </c>
      <c r="C14" s="22" t="s">
        <v>34</v>
      </c>
      <c r="D14" s="12">
        <v>39699</v>
      </c>
      <c r="E14" s="35" t="s">
        <v>926</v>
      </c>
      <c r="F14" s="35" t="s">
        <v>556</v>
      </c>
      <c r="G14" s="17" t="s">
        <v>1753</v>
      </c>
      <c r="H14" s="33" t="s">
        <v>2390</v>
      </c>
      <c r="I14" s="201" t="s">
        <v>2204</v>
      </c>
    </row>
    <row r="15" spans="1:9" s="8" customFormat="1" ht="21.75" customHeight="1">
      <c r="A15" s="9">
        <f t="shared" si="0"/>
        <v>9</v>
      </c>
      <c r="B15" s="21" t="s">
        <v>400</v>
      </c>
      <c r="C15" s="22" t="s">
        <v>401</v>
      </c>
      <c r="D15" s="12">
        <v>39314</v>
      </c>
      <c r="E15" s="35" t="s">
        <v>560</v>
      </c>
      <c r="F15" s="35" t="s">
        <v>541</v>
      </c>
      <c r="G15" s="17" t="s">
        <v>572</v>
      </c>
      <c r="H15" s="13"/>
      <c r="I15" s="201" t="s">
        <v>2204</v>
      </c>
    </row>
    <row r="16" spans="1:9" s="8" customFormat="1" ht="21.75" customHeight="1">
      <c r="A16" s="9">
        <f t="shared" si="0"/>
        <v>10</v>
      </c>
      <c r="B16" s="21" t="s">
        <v>295</v>
      </c>
      <c r="C16" s="22" t="s">
        <v>294</v>
      </c>
      <c r="D16" s="31">
        <v>39687</v>
      </c>
      <c r="E16" s="35" t="s">
        <v>574</v>
      </c>
      <c r="F16" s="35" t="s">
        <v>573</v>
      </c>
      <c r="G16" s="46" t="s">
        <v>575</v>
      </c>
      <c r="H16" s="13"/>
      <c r="I16" s="201" t="s">
        <v>2204</v>
      </c>
    </row>
    <row r="17" spans="1:10" s="8" customFormat="1" ht="21.75" customHeight="1">
      <c r="A17" s="9">
        <f t="shared" si="0"/>
        <v>11</v>
      </c>
      <c r="B17" s="21" t="s">
        <v>1451</v>
      </c>
      <c r="C17" s="22" t="s">
        <v>294</v>
      </c>
      <c r="D17" s="12">
        <v>39608</v>
      </c>
      <c r="E17" s="35" t="s">
        <v>1738</v>
      </c>
      <c r="F17" s="35" t="s">
        <v>573</v>
      </c>
      <c r="G17" s="17" t="s">
        <v>1739</v>
      </c>
      <c r="H17" s="13"/>
      <c r="I17" s="201" t="s">
        <v>2204</v>
      </c>
    </row>
    <row r="18" spans="1:10" s="8" customFormat="1" ht="21.75" customHeight="1">
      <c r="A18" s="9">
        <f t="shared" si="0"/>
        <v>12</v>
      </c>
      <c r="B18" s="21" t="s">
        <v>421</v>
      </c>
      <c r="C18" s="22" t="s">
        <v>397</v>
      </c>
      <c r="D18" s="12">
        <v>39621</v>
      </c>
      <c r="E18" s="35" t="s">
        <v>1021</v>
      </c>
      <c r="F18" s="35" t="s">
        <v>553</v>
      </c>
      <c r="G18" s="17" t="s">
        <v>2278</v>
      </c>
      <c r="H18" s="13"/>
      <c r="I18" s="201" t="s">
        <v>2204</v>
      </c>
    </row>
    <row r="19" spans="1:10" s="8" customFormat="1" ht="21.75" customHeight="1">
      <c r="A19" s="9">
        <f t="shared" si="0"/>
        <v>13</v>
      </c>
      <c r="B19" s="21" t="s">
        <v>1453</v>
      </c>
      <c r="C19" s="22" t="s">
        <v>262</v>
      </c>
      <c r="D19" s="12">
        <v>39573</v>
      </c>
      <c r="E19" s="35" t="s">
        <v>711</v>
      </c>
      <c r="F19" s="35" t="s">
        <v>541</v>
      </c>
      <c r="G19" s="17" t="s">
        <v>2966</v>
      </c>
      <c r="H19" s="33" t="s">
        <v>2389</v>
      </c>
      <c r="I19" s="201" t="s">
        <v>2341</v>
      </c>
    </row>
    <row r="20" spans="1:10" s="8" customFormat="1" ht="21.75" customHeight="1">
      <c r="A20" s="9">
        <f t="shared" si="0"/>
        <v>14</v>
      </c>
      <c r="B20" s="21" t="s">
        <v>80</v>
      </c>
      <c r="C20" s="22" t="s">
        <v>9</v>
      </c>
      <c r="D20" s="12">
        <v>39660</v>
      </c>
      <c r="E20" s="35" t="s">
        <v>579</v>
      </c>
      <c r="F20" s="35" t="s">
        <v>541</v>
      </c>
      <c r="G20" s="17" t="s">
        <v>580</v>
      </c>
      <c r="H20" s="13"/>
      <c r="I20" s="201" t="s">
        <v>2204</v>
      </c>
    </row>
    <row r="21" spans="1:10" s="8" customFormat="1" ht="21.75" customHeight="1">
      <c r="A21" s="9">
        <f t="shared" si="0"/>
        <v>15</v>
      </c>
      <c r="B21" s="21" t="s">
        <v>1140</v>
      </c>
      <c r="C21" s="22" t="s">
        <v>331</v>
      </c>
      <c r="D21" s="12">
        <v>39507</v>
      </c>
      <c r="E21" s="35" t="s">
        <v>557</v>
      </c>
      <c r="F21" s="35" t="s">
        <v>558</v>
      </c>
      <c r="G21" s="17" t="s">
        <v>559</v>
      </c>
      <c r="H21" s="13"/>
      <c r="I21" s="201" t="s">
        <v>2204</v>
      </c>
    </row>
    <row r="22" spans="1:10" s="8" customFormat="1" ht="21.75" customHeight="1">
      <c r="A22" s="9">
        <f t="shared" si="0"/>
        <v>16</v>
      </c>
      <c r="B22" s="21" t="s">
        <v>394</v>
      </c>
      <c r="C22" s="22" t="s">
        <v>277</v>
      </c>
      <c r="D22" s="12">
        <v>39263</v>
      </c>
      <c r="E22" s="35" t="s">
        <v>560</v>
      </c>
      <c r="F22" s="35" t="s">
        <v>541</v>
      </c>
      <c r="G22" s="17" t="s">
        <v>581</v>
      </c>
      <c r="H22" s="13"/>
      <c r="I22" s="201" t="s">
        <v>2204</v>
      </c>
    </row>
    <row r="23" spans="1:10" s="8" customFormat="1" ht="21.75" customHeight="1">
      <c r="A23" s="9">
        <f t="shared" si="0"/>
        <v>17</v>
      </c>
      <c r="B23" s="21" t="s">
        <v>404</v>
      </c>
      <c r="C23" s="22" t="s">
        <v>277</v>
      </c>
      <c r="D23" s="12">
        <v>39772</v>
      </c>
      <c r="E23" s="35" t="s">
        <v>582</v>
      </c>
      <c r="F23" s="35" t="s">
        <v>541</v>
      </c>
      <c r="G23" s="17" t="s">
        <v>583</v>
      </c>
      <c r="H23" s="13"/>
      <c r="I23" s="201" t="s">
        <v>2204</v>
      </c>
    </row>
    <row r="24" spans="1:10" s="8" customFormat="1" ht="21.75" customHeight="1">
      <c r="A24" s="9">
        <f t="shared" si="0"/>
        <v>18</v>
      </c>
      <c r="B24" s="21" t="s">
        <v>1125</v>
      </c>
      <c r="C24" s="22" t="s">
        <v>19</v>
      </c>
      <c r="D24" s="12" t="s">
        <v>2378</v>
      </c>
      <c r="E24" s="35" t="s">
        <v>2957</v>
      </c>
      <c r="F24" s="35" t="s">
        <v>556</v>
      </c>
      <c r="G24" s="17" t="s">
        <v>2958</v>
      </c>
      <c r="H24" s="13" t="s">
        <v>2359</v>
      </c>
      <c r="I24" s="201" t="s">
        <v>2204</v>
      </c>
      <c r="J24" s="8" t="str">
        <f t="shared" ref="J24:J34" si="1">PROPER(B24)</f>
        <v>Nguyễn Hoàng</v>
      </c>
    </row>
    <row r="25" spans="1:10" s="8" customFormat="1" ht="21.75" customHeight="1">
      <c r="A25" s="9">
        <f t="shared" si="0"/>
        <v>19</v>
      </c>
      <c r="B25" s="21" t="s">
        <v>391</v>
      </c>
      <c r="C25" s="22" t="s">
        <v>363</v>
      </c>
      <c r="D25" s="12">
        <v>39525</v>
      </c>
      <c r="E25" s="35" t="s">
        <v>584</v>
      </c>
      <c r="F25" s="35" t="s">
        <v>544</v>
      </c>
      <c r="G25" s="17" t="s">
        <v>585</v>
      </c>
      <c r="H25" s="13" t="s">
        <v>2683</v>
      </c>
      <c r="I25" s="201" t="s">
        <v>2204</v>
      </c>
      <c r="J25" s="8" t="str">
        <f t="shared" si="1"/>
        <v xml:space="preserve">Phan Như  </v>
      </c>
    </row>
    <row r="26" spans="1:10" s="8" customFormat="1" ht="21.75" customHeight="1">
      <c r="A26" s="9">
        <f t="shared" si="0"/>
        <v>20</v>
      </c>
      <c r="B26" s="21" t="s">
        <v>1941</v>
      </c>
      <c r="C26" s="22" t="s">
        <v>363</v>
      </c>
      <c r="D26" s="12">
        <v>39711</v>
      </c>
      <c r="E26" s="35" t="s">
        <v>2969</v>
      </c>
      <c r="F26" s="35" t="s">
        <v>544</v>
      </c>
      <c r="G26" s="17" t="s">
        <v>2970</v>
      </c>
      <c r="H26" s="13" t="s">
        <v>1936</v>
      </c>
      <c r="I26" s="201" t="s">
        <v>2204</v>
      </c>
      <c r="J26" s="8" t="str">
        <f t="shared" si="1"/>
        <v>Phùng Thị Như</v>
      </c>
    </row>
    <row r="27" spans="1:10" s="8" customFormat="1" ht="21.75" customHeight="1">
      <c r="A27" s="9">
        <f t="shared" si="0"/>
        <v>21</v>
      </c>
      <c r="B27" s="21" t="s">
        <v>1337</v>
      </c>
      <c r="C27" s="22" t="s">
        <v>363</v>
      </c>
      <c r="D27" s="12" t="s">
        <v>2123</v>
      </c>
      <c r="E27" s="35" t="s">
        <v>573</v>
      </c>
      <c r="F27" s="35" t="s">
        <v>573</v>
      </c>
      <c r="G27" s="17" t="s">
        <v>2288</v>
      </c>
      <c r="H27" s="13" t="s">
        <v>2106</v>
      </c>
      <c r="I27" s="201" t="s">
        <v>2204</v>
      </c>
      <c r="J27" s="8" t="str">
        <f t="shared" si="1"/>
        <v>Nguyễn Thị Như</v>
      </c>
    </row>
    <row r="28" spans="1:10" s="8" customFormat="1" ht="21.75" customHeight="1">
      <c r="A28" s="9">
        <f t="shared" si="0"/>
        <v>22</v>
      </c>
      <c r="B28" s="21" t="s">
        <v>398</v>
      </c>
      <c r="C28" s="22" t="s">
        <v>399</v>
      </c>
      <c r="D28" s="12">
        <v>39479</v>
      </c>
      <c r="E28" s="35" t="s">
        <v>957</v>
      </c>
      <c r="F28" s="35" t="s">
        <v>573</v>
      </c>
      <c r="G28" s="17" t="s">
        <v>958</v>
      </c>
      <c r="H28" s="52" t="s">
        <v>2683</v>
      </c>
      <c r="I28" s="201" t="s">
        <v>2215</v>
      </c>
      <c r="J28" s="8" t="str">
        <f t="shared" si="1"/>
        <v xml:space="preserve">Trần Văn </v>
      </c>
    </row>
    <row r="29" spans="1:10" s="8" customFormat="1" ht="21.75" customHeight="1">
      <c r="A29" s="9">
        <f t="shared" si="0"/>
        <v>23</v>
      </c>
      <c r="B29" s="21" t="s">
        <v>419</v>
      </c>
      <c r="C29" s="22" t="s">
        <v>383</v>
      </c>
      <c r="D29" s="12">
        <v>39705</v>
      </c>
      <c r="E29" s="35" t="s">
        <v>588</v>
      </c>
      <c r="F29" s="35" t="s">
        <v>573</v>
      </c>
      <c r="G29" s="17" t="s">
        <v>589</v>
      </c>
      <c r="H29" s="13"/>
      <c r="I29" s="201" t="s">
        <v>2204</v>
      </c>
      <c r="J29" s="8" t="str">
        <f t="shared" si="1"/>
        <v xml:space="preserve">Nguyễn Thị Kiều </v>
      </c>
    </row>
    <row r="30" spans="1:10" s="8" customFormat="1" ht="21.75" customHeight="1">
      <c r="A30" s="9">
        <f t="shared" si="0"/>
        <v>24</v>
      </c>
      <c r="B30" s="21" t="s">
        <v>1233</v>
      </c>
      <c r="C30" s="22" t="s">
        <v>339</v>
      </c>
      <c r="D30" s="12" t="s">
        <v>1238</v>
      </c>
      <c r="E30" s="35" t="s">
        <v>1746</v>
      </c>
      <c r="F30" s="35" t="s">
        <v>731</v>
      </c>
      <c r="G30" s="17" t="s">
        <v>1747</v>
      </c>
      <c r="H30" s="13"/>
      <c r="I30" s="201" t="s">
        <v>2204</v>
      </c>
      <c r="J30" s="8" t="str">
        <f t="shared" si="1"/>
        <v>Phạm Thị Hoài</v>
      </c>
    </row>
    <row r="31" spans="1:10" s="8" customFormat="1" ht="21.75" customHeight="1">
      <c r="A31" s="9">
        <f t="shared" si="0"/>
        <v>25</v>
      </c>
      <c r="B31" s="21" t="s">
        <v>388</v>
      </c>
      <c r="C31" s="22" t="s">
        <v>327</v>
      </c>
      <c r="D31" s="12">
        <v>39731</v>
      </c>
      <c r="E31" s="35" t="s">
        <v>592</v>
      </c>
      <c r="F31" s="35" t="s">
        <v>541</v>
      </c>
      <c r="G31" s="17" t="s">
        <v>593</v>
      </c>
      <c r="H31" s="13"/>
      <c r="I31" s="201" t="s">
        <v>2204</v>
      </c>
      <c r="J31" s="8" t="str">
        <f t="shared" si="1"/>
        <v xml:space="preserve">Phạm Ngọc Bảo </v>
      </c>
    </row>
    <row r="32" spans="1:10" s="8" customFormat="1" ht="21.75" customHeight="1">
      <c r="A32" s="9">
        <f t="shared" si="0"/>
        <v>26</v>
      </c>
      <c r="B32" s="21" t="s">
        <v>387</v>
      </c>
      <c r="C32" s="22" t="s">
        <v>259</v>
      </c>
      <c r="D32" s="12">
        <v>39466</v>
      </c>
      <c r="E32" s="35" t="s">
        <v>1748</v>
      </c>
      <c r="F32" s="35" t="s">
        <v>544</v>
      </c>
      <c r="G32" s="17" t="s">
        <v>2279</v>
      </c>
      <c r="H32" s="13"/>
      <c r="I32" s="13" t="s">
        <v>2204</v>
      </c>
      <c r="J32" s="8" t="str">
        <f t="shared" si="1"/>
        <v xml:space="preserve">Nguyễn Thị Thùy </v>
      </c>
    </row>
    <row r="33" spans="1:11" s="8" customFormat="1" ht="21.75" customHeight="1">
      <c r="A33" s="9">
        <f t="shared" si="0"/>
        <v>27</v>
      </c>
      <c r="B33" s="21" t="s">
        <v>402</v>
      </c>
      <c r="C33" s="22" t="s">
        <v>403</v>
      </c>
      <c r="D33" s="12">
        <v>39746</v>
      </c>
      <c r="E33" s="35" t="s">
        <v>582</v>
      </c>
      <c r="F33" s="35" t="s">
        <v>541</v>
      </c>
      <c r="G33" s="17" t="s">
        <v>598</v>
      </c>
      <c r="H33" s="13"/>
      <c r="I33" s="201" t="s">
        <v>2204</v>
      </c>
      <c r="J33" s="8" t="str">
        <f t="shared" si="1"/>
        <v xml:space="preserve">Đỗ Mỹ </v>
      </c>
    </row>
    <row r="34" spans="1:11" s="8" customFormat="1" ht="21.75" customHeight="1">
      <c r="A34" s="9">
        <f t="shared" si="0"/>
        <v>28</v>
      </c>
      <c r="B34" s="21" t="s">
        <v>1141</v>
      </c>
      <c r="C34" s="22" t="s">
        <v>1142</v>
      </c>
      <c r="D34" s="12">
        <v>36812</v>
      </c>
      <c r="E34" s="35" t="s">
        <v>703</v>
      </c>
      <c r="F34" s="35" t="s">
        <v>541</v>
      </c>
      <c r="G34" s="17" t="s">
        <v>2280</v>
      </c>
      <c r="H34" s="13"/>
      <c r="I34" s="201" t="s">
        <v>2204</v>
      </c>
      <c r="J34" s="8" t="str">
        <f t="shared" si="1"/>
        <v>Dương Thị Mỹ</v>
      </c>
    </row>
    <row r="35" spans="1:11" s="8" customFormat="1" ht="21.75" customHeight="1">
      <c r="A35" s="9">
        <f t="shared" si="0"/>
        <v>29</v>
      </c>
      <c r="B35" s="21" t="s">
        <v>504</v>
      </c>
      <c r="C35" s="22" t="s">
        <v>351</v>
      </c>
      <c r="D35" s="12" t="s">
        <v>1236</v>
      </c>
      <c r="E35" s="35" t="s">
        <v>943</v>
      </c>
      <c r="F35" s="35" t="s">
        <v>556</v>
      </c>
      <c r="G35" s="17" t="s">
        <v>1742</v>
      </c>
      <c r="H35" s="13"/>
      <c r="I35" s="201" t="s">
        <v>2204</v>
      </c>
      <c r="J35" s="8" t="str">
        <f>PROPER(DC15A2!B38)</f>
        <v xml:space="preserve">Phan Nguyễn Kiều </v>
      </c>
    </row>
    <row r="36" spans="1:11" s="8" customFormat="1" ht="21.75" customHeight="1">
      <c r="A36" s="9">
        <f t="shared" si="0"/>
        <v>30</v>
      </c>
      <c r="B36" s="21" t="s">
        <v>1587</v>
      </c>
      <c r="C36" s="22" t="s">
        <v>290</v>
      </c>
      <c r="D36" s="12" t="s">
        <v>1585</v>
      </c>
      <c r="E36" s="35" t="s">
        <v>1751</v>
      </c>
      <c r="F36" s="35" t="s">
        <v>541</v>
      </c>
      <c r="G36" s="17" t="s">
        <v>1752</v>
      </c>
      <c r="H36" s="13" t="s">
        <v>1602</v>
      </c>
      <c r="I36" s="201" t="s">
        <v>2204</v>
      </c>
      <c r="J36" s="8" t="str">
        <f>PROPER(B36)</f>
        <v>Đặng Thị Yến</v>
      </c>
    </row>
    <row r="37" spans="1:11" s="8" customFormat="1" ht="21.75" customHeight="1">
      <c r="A37" s="9">
        <f t="shared" si="0"/>
        <v>31</v>
      </c>
      <c r="B37" s="21" t="s">
        <v>416</v>
      </c>
      <c r="C37" s="22" t="s">
        <v>281</v>
      </c>
      <c r="D37" s="12">
        <v>39645</v>
      </c>
      <c r="E37" s="35" t="s">
        <v>599</v>
      </c>
      <c r="F37" s="35" t="s">
        <v>541</v>
      </c>
      <c r="G37" s="17" t="s">
        <v>600</v>
      </c>
      <c r="H37" s="13"/>
      <c r="I37" s="201" t="s">
        <v>2204</v>
      </c>
      <c r="J37" s="8" t="str">
        <f>PROPER(B37)</f>
        <v xml:space="preserve">Nguyễn Phan Như </v>
      </c>
      <c r="K37" s="8" t="str">
        <f>PROPER(C37)</f>
        <v>Ý</v>
      </c>
    </row>
    <row r="38" spans="1:11" s="8" customFormat="1" ht="21.75" customHeight="1">
      <c r="A38" s="9">
        <f t="shared" si="0"/>
        <v>32</v>
      </c>
      <c r="B38" s="21" t="s">
        <v>1118</v>
      </c>
      <c r="C38" s="22" t="s">
        <v>277</v>
      </c>
      <c r="D38" s="12" t="s">
        <v>1242</v>
      </c>
      <c r="E38" s="35" t="s">
        <v>592</v>
      </c>
      <c r="F38" s="35" t="s">
        <v>541</v>
      </c>
      <c r="G38" s="17" t="s">
        <v>1743</v>
      </c>
      <c r="H38" s="33" t="s">
        <v>2290</v>
      </c>
      <c r="I38" s="201" t="s">
        <v>2204</v>
      </c>
      <c r="J38" s="8" t="str">
        <f t="shared" ref="J38:J44" si="2">PROPER(B38)</f>
        <v>Trần Yến</v>
      </c>
      <c r="K38" s="8" t="str">
        <f t="shared" ref="K38:K44" si="3">PROPER(C38)</f>
        <v>Như</v>
      </c>
    </row>
    <row r="39" spans="1:11" s="8" customFormat="1" ht="21.75" customHeight="1">
      <c r="A39" s="9">
        <f t="shared" si="0"/>
        <v>33</v>
      </c>
      <c r="B39" s="21" t="s">
        <v>1452</v>
      </c>
      <c r="C39" s="22" t="s">
        <v>363</v>
      </c>
      <c r="D39" s="12">
        <v>39524</v>
      </c>
      <c r="E39" s="35" t="s">
        <v>621</v>
      </c>
      <c r="F39" s="35" t="s">
        <v>544</v>
      </c>
      <c r="G39" s="17" t="s">
        <v>1744</v>
      </c>
      <c r="H39" s="13"/>
      <c r="I39" s="201" t="s">
        <v>2204</v>
      </c>
      <c r="J39" s="8" t="str">
        <f t="shared" si="2"/>
        <v>Bùi Thị Như</v>
      </c>
      <c r="K39" s="8" t="str">
        <f t="shared" si="3"/>
        <v>Quỳnh</v>
      </c>
    </row>
    <row r="40" spans="1:11" s="8" customFormat="1" ht="21.75" customHeight="1">
      <c r="A40" s="9">
        <f t="shared" si="0"/>
        <v>34</v>
      </c>
      <c r="B40" s="21" t="s">
        <v>392</v>
      </c>
      <c r="C40" s="22" t="s">
        <v>327</v>
      </c>
      <c r="D40" s="12">
        <v>39673</v>
      </c>
      <c r="E40" s="35" t="s">
        <v>595</v>
      </c>
      <c r="F40" s="35" t="s">
        <v>541</v>
      </c>
      <c r="G40" s="17" t="s">
        <v>594</v>
      </c>
      <c r="H40" s="13" t="s">
        <v>2754</v>
      </c>
      <c r="I40" s="201" t="s">
        <v>2207</v>
      </c>
      <c r="J40" s="8" t="str">
        <f t="shared" si="2"/>
        <v xml:space="preserve">Ngô Ngọc Bảo </v>
      </c>
      <c r="K40" s="8" t="str">
        <f t="shared" si="3"/>
        <v>Trân</v>
      </c>
    </row>
    <row r="41" spans="1:11" s="8" customFormat="1" ht="21.75" customHeight="1">
      <c r="A41" s="9">
        <f t="shared" si="0"/>
        <v>35</v>
      </c>
      <c r="B41" s="21" t="s">
        <v>2853</v>
      </c>
      <c r="C41" s="22" t="s">
        <v>66</v>
      </c>
      <c r="D41" s="12" t="s">
        <v>2854</v>
      </c>
      <c r="E41" s="35" t="s">
        <v>885</v>
      </c>
      <c r="F41" s="35" t="s">
        <v>541</v>
      </c>
      <c r="G41" s="17" t="s">
        <v>3185</v>
      </c>
      <c r="H41" s="13" t="s">
        <v>2844</v>
      </c>
      <c r="I41" s="33" t="s">
        <v>2946</v>
      </c>
      <c r="J41" s="8" t="str">
        <f t="shared" si="2"/>
        <v xml:space="preserve">Trịnh Việt </v>
      </c>
      <c r="K41" s="8" t="str">
        <f t="shared" si="3"/>
        <v>Đức</v>
      </c>
    </row>
    <row r="42" spans="1:11" s="8" customFormat="1" ht="21.75" customHeight="1">
      <c r="A42" s="9">
        <f t="shared" si="0"/>
        <v>36</v>
      </c>
      <c r="B42" s="21" t="s">
        <v>3038</v>
      </c>
      <c r="C42" s="22" t="s">
        <v>2363</v>
      </c>
      <c r="D42" s="12" t="s">
        <v>3039</v>
      </c>
      <c r="E42" s="35" t="s">
        <v>560</v>
      </c>
      <c r="F42" s="35" t="s">
        <v>541</v>
      </c>
      <c r="G42" s="17" t="s">
        <v>3186</v>
      </c>
      <c r="H42" s="13" t="s">
        <v>3029</v>
      </c>
      <c r="I42" s="201" t="s">
        <v>2204</v>
      </c>
      <c r="J42" s="8" t="str">
        <f t="shared" si="2"/>
        <v>Phạm Thị</v>
      </c>
      <c r="K42" s="8" t="str">
        <f t="shared" si="3"/>
        <v>Đào</v>
      </c>
    </row>
    <row r="43" spans="1:11" s="8" customFormat="1" ht="21.75" customHeight="1">
      <c r="A43" s="9">
        <f t="shared" si="0"/>
        <v>37</v>
      </c>
      <c r="B43" s="21" t="s">
        <v>3137</v>
      </c>
      <c r="C43" s="22" t="s">
        <v>111</v>
      </c>
      <c r="D43" s="12" t="s">
        <v>1831</v>
      </c>
      <c r="E43" s="35" t="s">
        <v>547</v>
      </c>
      <c r="F43" s="35" t="s">
        <v>541</v>
      </c>
      <c r="G43" s="17" t="s">
        <v>3143</v>
      </c>
      <c r="H43" s="13" t="s">
        <v>3134</v>
      </c>
      <c r="I43" s="13" t="s">
        <v>2204</v>
      </c>
      <c r="J43" s="8" t="str">
        <f t="shared" si="2"/>
        <v xml:space="preserve">Trần Bá </v>
      </c>
      <c r="K43" s="8" t="str">
        <f t="shared" si="3"/>
        <v>Vũ</v>
      </c>
    </row>
    <row r="44" spans="1:11" s="8" customFormat="1" ht="21.75" customHeight="1">
      <c r="A44" s="9">
        <f t="shared" si="0"/>
        <v>38</v>
      </c>
      <c r="B44" s="21" t="s">
        <v>1902</v>
      </c>
      <c r="C44" s="22" t="s">
        <v>335</v>
      </c>
      <c r="D44" s="12">
        <v>39688</v>
      </c>
      <c r="E44" s="35" t="s">
        <v>3512</v>
      </c>
      <c r="F44" s="35" t="s">
        <v>631</v>
      </c>
      <c r="G44" s="17" t="s">
        <v>3513</v>
      </c>
      <c r="H44" s="13" t="s">
        <v>3387</v>
      </c>
      <c r="I44" s="13" t="s">
        <v>2204</v>
      </c>
      <c r="J44" s="8" t="str">
        <f t="shared" si="2"/>
        <v>Trần Thị Mỹ</v>
      </c>
      <c r="K44" s="8" t="str">
        <f t="shared" si="3"/>
        <v>Yến</v>
      </c>
    </row>
    <row r="45" spans="1:11" s="8" customFormat="1" ht="21.75" customHeight="1">
      <c r="A45" s="9">
        <f t="shared" si="0"/>
        <v>39</v>
      </c>
      <c r="B45" s="21" t="s">
        <v>3505</v>
      </c>
      <c r="C45" s="22" t="s">
        <v>183</v>
      </c>
      <c r="D45" s="12" t="s">
        <v>3507</v>
      </c>
      <c r="E45" s="35" t="s">
        <v>787</v>
      </c>
      <c r="F45" s="35" t="s">
        <v>541</v>
      </c>
      <c r="G45" s="17" t="s">
        <v>3511</v>
      </c>
      <c r="H45" s="13" t="s">
        <v>3502</v>
      </c>
      <c r="I45" s="13" t="s">
        <v>2204</v>
      </c>
      <c r="J45" s="8" t="str">
        <f t="shared" ref="J45:J46" si="4">PROPER(B45)</f>
        <v>Ngô Ngọc</v>
      </c>
      <c r="K45" s="8" t="str">
        <f t="shared" ref="K45:K46" si="5">PROPER(C45)</f>
        <v>Thảo</v>
      </c>
    </row>
    <row r="46" spans="1:11" s="8" customFormat="1" ht="21.75" customHeight="1">
      <c r="A46" s="9">
        <f t="shared" si="0"/>
        <v>40</v>
      </c>
      <c r="B46" s="21" t="s">
        <v>3506</v>
      </c>
      <c r="C46" s="22" t="s">
        <v>339</v>
      </c>
      <c r="D46" s="12" t="s">
        <v>3508</v>
      </c>
      <c r="E46" s="35" t="s">
        <v>2316</v>
      </c>
      <c r="F46" s="35" t="s">
        <v>556</v>
      </c>
      <c r="G46" s="17" t="s">
        <v>3510</v>
      </c>
      <c r="H46" s="13" t="s">
        <v>3502</v>
      </c>
      <c r="I46" s="13" t="s">
        <v>2204</v>
      </c>
      <c r="J46" s="8" t="str">
        <f t="shared" si="4"/>
        <v>Hoàng Thị</v>
      </c>
      <c r="K46" s="8" t="str">
        <f t="shared" si="5"/>
        <v>Thương</v>
      </c>
    </row>
  </sheetData>
  <mergeCells count="8">
    <mergeCell ref="B6:C6"/>
    <mergeCell ref="E6:F6"/>
    <mergeCell ref="A1:D1"/>
    <mergeCell ref="E1:H1"/>
    <mergeCell ref="A2:D2"/>
    <mergeCell ref="E2:H2"/>
    <mergeCell ref="A4:H4"/>
    <mergeCell ref="A5:H5"/>
  </mergeCells>
  <pageMargins left="0.2" right="0.22" top="0.33" bottom="0.31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opLeftCell="A34" workbookViewId="0">
      <selection activeCell="I37" sqref="I37:I38"/>
    </sheetView>
  </sheetViews>
  <sheetFormatPr defaultRowHeight="15"/>
  <cols>
    <col min="1" max="1" width="5.28515625" style="1" customWidth="1"/>
    <col min="2" max="2" width="21.140625" style="1" customWidth="1"/>
    <col min="3" max="3" width="7.7109375" style="1" customWidth="1"/>
    <col min="4" max="4" width="9.85546875" style="1" customWidth="1"/>
    <col min="5" max="5" width="17" style="42" customWidth="1"/>
    <col min="6" max="6" width="13.42578125" style="42" customWidth="1"/>
    <col min="7" max="7" width="12.140625" style="1" customWidth="1"/>
    <col min="8" max="8" width="17" style="1" customWidth="1"/>
    <col min="9" max="9" width="34.85546875" style="156" customWidth="1"/>
    <col min="10" max="10" width="20.42578125" style="1" customWidth="1"/>
    <col min="11" max="16384" width="9.140625" style="1"/>
  </cols>
  <sheetData>
    <row r="1" spans="1:11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  <c r="I1" s="166"/>
    </row>
    <row r="2" spans="1:11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  <c r="I2" s="166"/>
    </row>
    <row r="3" spans="1:11" ht="15.75" customHeight="1">
      <c r="A3" s="2"/>
      <c r="B3" s="3"/>
      <c r="C3" s="3"/>
      <c r="D3" s="3"/>
    </row>
    <row r="4" spans="1:11" ht="15.75" customHeight="1">
      <c r="A4" s="308" t="s">
        <v>10</v>
      </c>
      <c r="B4" s="308"/>
      <c r="C4" s="308"/>
      <c r="D4" s="308"/>
      <c r="E4" s="308"/>
      <c r="F4" s="308"/>
      <c r="G4" s="308"/>
      <c r="H4" s="308"/>
      <c r="I4" s="167"/>
    </row>
    <row r="5" spans="1:11" s="4" customFormat="1" ht="23.25" customHeight="1">
      <c r="A5" s="309" t="s">
        <v>2572</v>
      </c>
      <c r="B5" s="309"/>
      <c r="C5" s="309"/>
      <c r="D5" s="309"/>
      <c r="E5" s="309"/>
      <c r="F5" s="309"/>
      <c r="G5" s="309"/>
      <c r="H5" s="309"/>
      <c r="I5" s="168"/>
    </row>
    <row r="6" spans="1:11" s="8" customFormat="1" ht="45.75" customHeight="1">
      <c r="A6" s="5" t="s">
        <v>4</v>
      </c>
      <c r="B6" s="302" t="s">
        <v>5</v>
      </c>
      <c r="C6" s="303"/>
      <c r="D6" s="6" t="s">
        <v>6</v>
      </c>
      <c r="E6" s="304" t="s">
        <v>11</v>
      </c>
      <c r="F6" s="305"/>
      <c r="G6" s="20" t="s">
        <v>226</v>
      </c>
      <c r="H6" s="7" t="s">
        <v>7</v>
      </c>
      <c r="I6" s="5" t="s">
        <v>2956</v>
      </c>
    </row>
    <row r="7" spans="1:11" s="8" customFormat="1" ht="19.5" customHeight="1">
      <c r="A7" s="9">
        <f t="shared" ref="A7:A45" si="0">ROW()-6</f>
        <v>1</v>
      </c>
      <c r="B7" s="21" t="s">
        <v>1126</v>
      </c>
      <c r="C7" s="22" t="s">
        <v>70</v>
      </c>
      <c r="D7" s="12" t="s">
        <v>1240</v>
      </c>
      <c r="E7" s="35" t="s">
        <v>703</v>
      </c>
      <c r="F7" s="35" t="s">
        <v>541</v>
      </c>
      <c r="G7" s="17" t="s">
        <v>1734</v>
      </c>
      <c r="H7" s="13"/>
      <c r="I7" s="35" t="s">
        <v>2204</v>
      </c>
      <c r="K7" s="8" t="str">
        <f t="shared" ref="K7:K11" si="1">PROPER(C7)</f>
        <v>Anh</v>
      </c>
    </row>
    <row r="8" spans="1:11" s="8" customFormat="1" ht="19.5" customHeight="1">
      <c r="A8" s="9">
        <f t="shared" si="0"/>
        <v>2</v>
      </c>
      <c r="B8" s="21" t="s">
        <v>411</v>
      </c>
      <c r="C8" s="22" t="s">
        <v>390</v>
      </c>
      <c r="D8" s="12">
        <v>39591</v>
      </c>
      <c r="E8" s="35" t="s">
        <v>1041</v>
      </c>
      <c r="F8" s="35" t="s">
        <v>565</v>
      </c>
      <c r="G8" s="17" t="s">
        <v>1042</v>
      </c>
      <c r="H8" s="13"/>
      <c r="I8" s="35" t="s">
        <v>2428</v>
      </c>
      <c r="J8" s="80" t="s">
        <v>2391</v>
      </c>
      <c r="K8" s="8" t="str">
        <f t="shared" si="1"/>
        <v>Dung</v>
      </c>
    </row>
    <row r="9" spans="1:11" s="8" customFormat="1" ht="19.5" customHeight="1">
      <c r="A9" s="9">
        <f t="shared" si="0"/>
        <v>3</v>
      </c>
      <c r="B9" s="21" t="s">
        <v>408</v>
      </c>
      <c r="C9" s="22" t="s">
        <v>232</v>
      </c>
      <c r="D9" s="12">
        <v>39573</v>
      </c>
      <c r="E9" s="35" t="s">
        <v>568</v>
      </c>
      <c r="F9" s="35" t="s">
        <v>556</v>
      </c>
      <c r="G9" s="17" t="s">
        <v>569</v>
      </c>
      <c r="H9" s="13"/>
      <c r="I9" s="35" t="s">
        <v>2204</v>
      </c>
      <c r="K9" s="8" t="str">
        <f t="shared" si="1"/>
        <v>Hà</v>
      </c>
    </row>
    <row r="10" spans="1:11" s="8" customFormat="1" ht="19.5" customHeight="1">
      <c r="A10" s="9">
        <f t="shared" si="0"/>
        <v>4</v>
      </c>
      <c r="B10" s="21" t="s">
        <v>1408</v>
      </c>
      <c r="C10" s="22" t="s">
        <v>232</v>
      </c>
      <c r="D10" s="12">
        <v>39600</v>
      </c>
      <c r="E10" s="35" t="s">
        <v>659</v>
      </c>
      <c r="F10" s="35" t="s">
        <v>556</v>
      </c>
      <c r="G10" s="17" t="s">
        <v>2281</v>
      </c>
      <c r="H10" s="33" t="s">
        <v>1957</v>
      </c>
      <c r="I10" s="35" t="s">
        <v>2204</v>
      </c>
      <c r="K10" s="8" t="str">
        <f t="shared" si="1"/>
        <v>Hà</v>
      </c>
    </row>
    <row r="11" spans="1:11" s="8" customFormat="1" ht="19.5" customHeight="1">
      <c r="A11" s="9">
        <f t="shared" si="0"/>
        <v>5</v>
      </c>
      <c r="B11" s="21" t="s">
        <v>1138</v>
      </c>
      <c r="C11" s="22" t="s">
        <v>166</v>
      </c>
      <c r="D11" s="12">
        <v>39550</v>
      </c>
      <c r="E11" s="35" t="s">
        <v>601</v>
      </c>
      <c r="F11" s="35" t="s">
        <v>556</v>
      </c>
      <c r="G11" s="17" t="s">
        <v>602</v>
      </c>
      <c r="H11" s="13"/>
      <c r="I11" s="35" t="s">
        <v>2204</v>
      </c>
      <c r="J11" s="80"/>
      <c r="K11" s="8" t="str">
        <f t="shared" si="1"/>
        <v>Hưng</v>
      </c>
    </row>
    <row r="12" spans="1:11" s="8" customFormat="1" ht="19.5" customHeight="1">
      <c r="A12" s="9">
        <f t="shared" si="0"/>
        <v>6</v>
      </c>
      <c r="B12" s="21" t="s">
        <v>1546</v>
      </c>
      <c r="C12" s="22" t="s">
        <v>34</v>
      </c>
      <c r="D12" s="12" t="s">
        <v>1985</v>
      </c>
      <c r="E12" s="35" t="s">
        <v>1389</v>
      </c>
      <c r="F12" s="35" t="s">
        <v>541</v>
      </c>
      <c r="G12" s="17" t="s">
        <v>2964</v>
      </c>
      <c r="H12" s="13" t="s">
        <v>1955</v>
      </c>
      <c r="I12" s="35" t="s">
        <v>2204</v>
      </c>
      <c r="K12" s="8" t="str">
        <f t="shared" ref="K12:K19" si="2">PROPER(C12)</f>
        <v>Kiệt</v>
      </c>
    </row>
    <row r="13" spans="1:11" s="8" customFormat="1" ht="19.5" customHeight="1">
      <c r="A13" s="9">
        <f t="shared" si="0"/>
        <v>7</v>
      </c>
      <c r="B13" s="21" t="s">
        <v>414</v>
      </c>
      <c r="C13" s="22" t="s">
        <v>415</v>
      </c>
      <c r="D13" s="12">
        <v>39784</v>
      </c>
      <c r="E13" s="35" t="s">
        <v>1035</v>
      </c>
      <c r="F13" s="35" t="s">
        <v>556</v>
      </c>
      <c r="G13" s="17" t="s">
        <v>1036</v>
      </c>
      <c r="H13" s="13"/>
      <c r="I13" s="35" t="s">
        <v>2204</v>
      </c>
      <c r="K13" s="8" t="str">
        <f t="shared" si="2"/>
        <v>Lệ</v>
      </c>
    </row>
    <row r="14" spans="1:11" s="8" customFormat="1" ht="19.5" customHeight="1">
      <c r="A14" s="9">
        <f t="shared" si="0"/>
        <v>8</v>
      </c>
      <c r="B14" s="21" t="s">
        <v>389</v>
      </c>
      <c r="C14" s="22" t="s">
        <v>294</v>
      </c>
      <c r="D14" s="12">
        <v>39512</v>
      </c>
      <c r="E14" s="35" t="s">
        <v>570</v>
      </c>
      <c r="F14" s="35" t="s">
        <v>541</v>
      </c>
      <c r="G14" s="17" t="s">
        <v>2968</v>
      </c>
      <c r="H14" s="13"/>
      <c r="I14" s="35" t="s">
        <v>2204</v>
      </c>
      <c r="K14" s="8" t="str">
        <f t="shared" si="2"/>
        <v>Linh</v>
      </c>
    </row>
    <row r="15" spans="1:11" s="8" customFormat="1" ht="19.5" customHeight="1">
      <c r="A15" s="9">
        <f t="shared" si="0"/>
        <v>9</v>
      </c>
      <c r="B15" s="21" t="s">
        <v>396</v>
      </c>
      <c r="C15" s="22" t="s">
        <v>397</v>
      </c>
      <c r="D15" s="12">
        <v>39489</v>
      </c>
      <c r="E15" s="35" t="s">
        <v>886</v>
      </c>
      <c r="F15" s="35" t="s">
        <v>541</v>
      </c>
      <c r="G15" s="17" t="s">
        <v>959</v>
      </c>
      <c r="H15" s="13"/>
      <c r="I15" s="35" t="s">
        <v>2204</v>
      </c>
      <c r="K15" s="8" t="str">
        <f t="shared" si="2"/>
        <v>Ly</v>
      </c>
    </row>
    <row r="16" spans="1:11" s="8" customFormat="1" ht="19.5" customHeight="1">
      <c r="A16" s="9">
        <f t="shared" si="0"/>
        <v>10</v>
      </c>
      <c r="B16" s="21" t="s">
        <v>326</v>
      </c>
      <c r="C16" s="22" t="s">
        <v>422</v>
      </c>
      <c r="D16" s="12">
        <v>39479</v>
      </c>
      <c r="E16" s="35" t="s">
        <v>1011</v>
      </c>
      <c r="F16" s="35" t="s">
        <v>556</v>
      </c>
      <c r="G16" s="17" t="s">
        <v>576</v>
      </c>
      <c r="H16" s="13" t="s">
        <v>577</v>
      </c>
      <c r="I16" s="35" t="s">
        <v>2204</v>
      </c>
      <c r="K16" s="8" t="str">
        <f t="shared" si="2"/>
        <v>Mi</v>
      </c>
    </row>
    <row r="17" spans="1:11" s="8" customFormat="1" ht="19.5" customHeight="1">
      <c r="A17" s="9">
        <f t="shared" si="0"/>
        <v>11</v>
      </c>
      <c r="B17" s="21" t="s">
        <v>1964</v>
      </c>
      <c r="C17" s="22" t="s">
        <v>1980</v>
      </c>
      <c r="D17" s="12" t="s">
        <v>1983</v>
      </c>
      <c r="E17" s="35" t="s">
        <v>2283</v>
      </c>
      <c r="F17" s="35" t="s">
        <v>556</v>
      </c>
      <c r="G17" s="17" t="s">
        <v>2284</v>
      </c>
      <c r="H17" s="13" t="s">
        <v>1955</v>
      </c>
      <c r="I17" s="35" t="s">
        <v>2204</v>
      </c>
      <c r="K17" s="8" t="str">
        <f t="shared" si="2"/>
        <v>Mơ</v>
      </c>
    </row>
    <row r="18" spans="1:11" s="8" customFormat="1" ht="19.5" customHeight="1">
      <c r="A18" s="9">
        <f t="shared" si="0"/>
        <v>12</v>
      </c>
      <c r="B18" s="21" t="s">
        <v>2023</v>
      </c>
      <c r="C18" s="22" t="s">
        <v>284</v>
      </c>
      <c r="D18" s="12" t="s">
        <v>1204</v>
      </c>
      <c r="E18" s="35" t="s">
        <v>2286</v>
      </c>
      <c r="F18" s="35" t="s">
        <v>556</v>
      </c>
      <c r="G18" s="17" t="s">
        <v>2287</v>
      </c>
      <c r="H18" s="13" t="s">
        <v>2018</v>
      </c>
      <c r="I18" s="35" t="s">
        <v>2204</v>
      </c>
      <c r="K18" s="8" t="str">
        <f t="shared" si="2"/>
        <v>Ngân</v>
      </c>
    </row>
    <row r="19" spans="1:11" s="8" customFormat="1" ht="19.5" customHeight="1">
      <c r="A19" s="9">
        <f t="shared" si="0"/>
        <v>13</v>
      </c>
      <c r="B19" s="21" t="s">
        <v>2121</v>
      </c>
      <c r="C19" s="22" t="s">
        <v>216</v>
      </c>
      <c r="D19" s="12" t="s">
        <v>2122</v>
      </c>
      <c r="E19" s="35" t="s">
        <v>560</v>
      </c>
      <c r="F19" s="35" t="s">
        <v>541</v>
      </c>
      <c r="G19" s="17" t="s">
        <v>2967</v>
      </c>
      <c r="H19" s="13" t="s">
        <v>2106</v>
      </c>
      <c r="I19" s="35" t="s">
        <v>2204</v>
      </c>
      <c r="K19" s="8" t="str">
        <f t="shared" si="2"/>
        <v>Nguyên</v>
      </c>
    </row>
    <row r="20" spans="1:11" s="8" customFormat="1" ht="19.5" customHeight="1">
      <c r="A20" s="9">
        <f t="shared" si="0"/>
        <v>14</v>
      </c>
      <c r="B20" s="21" t="s">
        <v>2377</v>
      </c>
      <c r="C20" s="22" t="s">
        <v>277</v>
      </c>
      <c r="D20" s="12" t="s">
        <v>2375</v>
      </c>
      <c r="E20" s="35" t="s">
        <v>748</v>
      </c>
      <c r="F20" s="35" t="s">
        <v>541</v>
      </c>
      <c r="G20" s="17" t="s">
        <v>2960</v>
      </c>
      <c r="H20" s="13" t="s">
        <v>2359</v>
      </c>
      <c r="I20" s="35" t="s">
        <v>2204</v>
      </c>
    </row>
    <row r="21" spans="1:11" s="8" customFormat="1" ht="19.5" customHeight="1">
      <c r="A21" s="9">
        <f t="shared" si="0"/>
        <v>15</v>
      </c>
      <c r="B21" s="21" t="s">
        <v>417</v>
      </c>
      <c r="C21" s="22" t="s">
        <v>418</v>
      </c>
      <c r="D21" s="12">
        <v>39730</v>
      </c>
      <c r="E21" s="35" t="s">
        <v>1039</v>
      </c>
      <c r="F21" s="35" t="s">
        <v>541</v>
      </c>
      <c r="G21" s="17" t="s">
        <v>1040</v>
      </c>
      <c r="H21" s="13"/>
      <c r="I21" s="36" t="s">
        <v>3489</v>
      </c>
      <c r="J21" s="8" t="str">
        <f t="shared" ref="J21:J34" si="3">PROPER(B21)</f>
        <v xml:space="preserve">Hồ Minh </v>
      </c>
      <c r="K21" s="8" t="e">
        <f>PROPER(#REF!)</f>
        <v>#REF!</v>
      </c>
    </row>
    <row r="22" spans="1:11" s="8" customFormat="1" ht="19.5" customHeight="1">
      <c r="A22" s="9">
        <f t="shared" si="0"/>
        <v>16</v>
      </c>
      <c r="B22" s="21" t="s">
        <v>1232</v>
      </c>
      <c r="C22" s="22" t="s">
        <v>98</v>
      </c>
      <c r="D22" s="12" t="s">
        <v>1237</v>
      </c>
      <c r="E22" s="35" t="s">
        <v>560</v>
      </c>
      <c r="F22" s="35" t="s">
        <v>541</v>
      </c>
      <c r="G22" s="17" t="s">
        <v>1745</v>
      </c>
      <c r="H22" s="13"/>
      <c r="I22" s="35" t="s">
        <v>2204</v>
      </c>
      <c r="J22" s="8" t="str">
        <f t="shared" si="3"/>
        <v>Phan Văn</v>
      </c>
      <c r="K22" s="8" t="str">
        <f t="shared" ref="K22:K29" si="4">PROPER(C22)</f>
        <v>Tài</v>
      </c>
    </row>
    <row r="23" spans="1:11" s="8" customFormat="1" ht="19.5" customHeight="1">
      <c r="A23" s="9">
        <f t="shared" si="0"/>
        <v>17</v>
      </c>
      <c r="B23" s="21" t="s">
        <v>410</v>
      </c>
      <c r="C23" s="22" t="s">
        <v>183</v>
      </c>
      <c r="D23" s="12">
        <v>39583</v>
      </c>
      <c r="E23" s="35" t="s">
        <v>586</v>
      </c>
      <c r="F23" s="35" t="s">
        <v>556</v>
      </c>
      <c r="G23" s="17" t="s">
        <v>587</v>
      </c>
      <c r="H23" s="13"/>
      <c r="I23" s="13" t="s">
        <v>3534</v>
      </c>
      <c r="J23" s="8" t="str">
        <f t="shared" si="3"/>
        <v xml:space="preserve">Hồ Thị Thu </v>
      </c>
      <c r="K23" s="8" t="str">
        <f t="shared" si="4"/>
        <v>Thảo</v>
      </c>
    </row>
    <row r="24" spans="1:11" s="8" customFormat="1" ht="19.5" customHeight="1">
      <c r="A24" s="9">
        <f t="shared" si="0"/>
        <v>18</v>
      </c>
      <c r="B24" s="21" t="s">
        <v>420</v>
      </c>
      <c r="C24" s="22" t="s">
        <v>257</v>
      </c>
      <c r="D24" s="12">
        <v>39563</v>
      </c>
      <c r="E24" s="35" t="s">
        <v>1033</v>
      </c>
      <c r="F24" s="35" t="s">
        <v>556</v>
      </c>
      <c r="G24" s="17" t="s">
        <v>1034</v>
      </c>
      <c r="H24" s="17"/>
      <c r="I24" s="50" t="s">
        <v>2204</v>
      </c>
      <c r="J24" s="8" t="str">
        <f t="shared" si="3"/>
        <v xml:space="preserve">Lê Thị Minh </v>
      </c>
      <c r="K24" s="8" t="str">
        <f t="shared" si="4"/>
        <v>Thư</v>
      </c>
    </row>
    <row r="25" spans="1:11" s="8" customFormat="1" ht="19.5" customHeight="1">
      <c r="A25" s="9">
        <f t="shared" si="0"/>
        <v>19</v>
      </c>
      <c r="B25" s="21" t="s">
        <v>2077</v>
      </c>
      <c r="C25" s="22" t="s">
        <v>380</v>
      </c>
      <c r="D25" s="12">
        <v>39637</v>
      </c>
      <c r="E25" s="35" t="s">
        <v>2961</v>
      </c>
      <c r="F25" s="35" t="s">
        <v>541</v>
      </c>
      <c r="G25" s="17" t="s">
        <v>2962</v>
      </c>
      <c r="H25" s="13" t="s">
        <v>2072</v>
      </c>
      <c r="I25" s="50" t="s">
        <v>2204</v>
      </c>
      <c r="J25" s="8" t="str">
        <f t="shared" si="3"/>
        <v>Ngô Bảo</v>
      </c>
      <c r="K25" s="8" t="str">
        <f t="shared" si="4"/>
        <v>Thy</v>
      </c>
    </row>
    <row r="26" spans="1:11" s="8" customFormat="1" ht="19.5" customHeight="1">
      <c r="A26" s="9">
        <f t="shared" si="0"/>
        <v>20</v>
      </c>
      <c r="B26" s="21" t="s">
        <v>309</v>
      </c>
      <c r="C26" s="22" t="s">
        <v>406</v>
      </c>
      <c r="D26" s="12">
        <v>39593</v>
      </c>
      <c r="E26" s="35" t="s">
        <v>590</v>
      </c>
      <c r="F26" s="35" t="s">
        <v>541</v>
      </c>
      <c r="G26" s="17" t="s">
        <v>591</v>
      </c>
      <c r="H26" s="13"/>
      <c r="I26" s="35" t="s">
        <v>2204</v>
      </c>
      <c r="J26" s="8" t="str">
        <f t="shared" si="3"/>
        <v xml:space="preserve">Nguyễn Thị Thanh </v>
      </c>
      <c r="K26" s="8" t="str">
        <f t="shared" si="4"/>
        <v>Trà</v>
      </c>
    </row>
    <row r="27" spans="1:11" s="8" customFormat="1" ht="19.5" customHeight="1">
      <c r="A27" s="9">
        <f t="shared" si="0"/>
        <v>21</v>
      </c>
      <c r="B27" s="21" t="s">
        <v>1749</v>
      </c>
      <c r="C27" s="22" t="s">
        <v>259</v>
      </c>
      <c r="D27" s="12">
        <v>39595</v>
      </c>
      <c r="E27" s="35" t="s">
        <v>659</v>
      </c>
      <c r="F27" s="35" t="s">
        <v>556</v>
      </c>
      <c r="G27" s="17" t="s">
        <v>1032</v>
      </c>
      <c r="H27" s="13"/>
      <c r="I27" s="35" t="s">
        <v>2204</v>
      </c>
      <c r="J27" s="8" t="str">
        <f t="shared" si="3"/>
        <v xml:space="preserve">Lê Thúy Thùy </v>
      </c>
      <c r="K27" s="8" t="str">
        <f t="shared" si="4"/>
        <v>Trang</v>
      </c>
    </row>
    <row r="28" spans="1:11" s="8" customFormat="1" ht="19.5" customHeight="1">
      <c r="A28" s="9">
        <f t="shared" si="0"/>
        <v>22</v>
      </c>
      <c r="B28" s="21" t="s">
        <v>387</v>
      </c>
      <c r="C28" s="22" t="s">
        <v>287</v>
      </c>
      <c r="D28" s="12">
        <v>39746</v>
      </c>
      <c r="E28" s="35" t="s">
        <v>596</v>
      </c>
      <c r="F28" s="35" t="s">
        <v>544</v>
      </c>
      <c r="G28" s="17" t="s">
        <v>597</v>
      </c>
      <c r="H28" s="13"/>
      <c r="I28" s="35" t="s">
        <v>2204</v>
      </c>
      <c r="J28" s="8" t="str">
        <f t="shared" si="3"/>
        <v xml:space="preserve">Nguyễn Thị Thùy </v>
      </c>
      <c r="K28" s="8" t="str">
        <f t="shared" si="4"/>
        <v>Trinh</v>
      </c>
    </row>
    <row r="29" spans="1:11" s="8" customFormat="1" ht="19.5" customHeight="1">
      <c r="A29" s="9">
        <f t="shared" si="0"/>
        <v>23</v>
      </c>
      <c r="B29" s="21" t="s">
        <v>1080</v>
      </c>
      <c r="C29" s="22" t="s">
        <v>403</v>
      </c>
      <c r="D29" s="12">
        <v>39560</v>
      </c>
      <c r="E29" s="35" t="s">
        <v>693</v>
      </c>
      <c r="F29" s="35" t="s">
        <v>556</v>
      </c>
      <c r="G29" s="17" t="s">
        <v>1750</v>
      </c>
      <c r="H29" s="13"/>
      <c r="I29" s="35" t="s">
        <v>2204</v>
      </c>
      <c r="J29" s="8" t="str">
        <f t="shared" si="3"/>
        <v>Nguyễn Lương</v>
      </c>
      <c r="K29" s="8" t="str">
        <f t="shared" si="4"/>
        <v>Uyên</v>
      </c>
    </row>
    <row r="30" spans="1:11" s="8" customFormat="1" ht="19.5" customHeight="1">
      <c r="A30" s="9">
        <f t="shared" si="0"/>
        <v>24</v>
      </c>
      <c r="B30" s="21" t="s">
        <v>423</v>
      </c>
      <c r="C30" s="22" t="s">
        <v>342</v>
      </c>
      <c r="D30" s="12">
        <v>39729</v>
      </c>
      <c r="E30" s="35" t="s">
        <v>1019</v>
      </c>
      <c r="F30" s="35" t="s">
        <v>544</v>
      </c>
      <c r="G30" s="17" t="s">
        <v>1020</v>
      </c>
      <c r="H30" s="13"/>
      <c r="I30" s="35" t="s">
        <v>2204</v>
      </c>
      <c r="J30" s="8" t="str">
        <f t="shared" si="3"/>
        <v xml:space="preserve">Y Hồng </v>
      </c>
      <c r="K30" s="8" t="str">
        <f t="shared" ref="K30:K32" si="5">PROPER(C30)</f>
        <v>Vi</v>
      </c>
    </row>
    <row r="31" spans="1:11" s="8" customFormat="1" ht="19.5" customHeight="1">
      <c r="A31" s="9">
        <f t="shared" si="0"/>
        <v>25</v>
      </c>
      <c r="B31" s="21" t="s">
        <v>395</v>
      </c>
      <c r="C31" s="22" t="s">
        <v>290</v>
      </c>
      <c r="D31" s="12">
        <v>39729</v>
      </c>
      <c r="E31" s="35" t="s">
        <v>630</v>
      </c>
      <c r="F31" s="35" t="s">
        <v>541</v>
      </c>
      <c r="G31" s="17" t="s">
        <v>994</v>
      </c>
      <c r="H31" s="13"/>
      <c r="I31" s="35" t="s">
        <v>2204</v>
      </c>
      <c r="J31" s="8" t="str">
        <f t="shared" si="3"/>
        <v xml:space="preserve">Phạm Đỗ Phương </v>
      </c>
      <c r="K31" s="8" t="str">
        <f t="shared" si="5"/>
        <v>Vy</v>
      </c>
    </row>
    <row r="32" spans="1:11" s="8" customFormat="1" ht="19.5" customHeight="1">
      <c r="A32" s="9">
        <f t="shared" si="0"/>
        <v>26</v>
      </c>
      <c r="B32" s="21" t="s">
        <v>1981</v>
      </c>
      <c r="C32" s="22" t="s">
        <v>21</v>
      </c>
      <c r="D32" s="12" t="s">
        <v>1984</v>
      </c>
      <c r="E32" s="35" t="s">
        <v>603</v>
      </c>
      <c r="F32" s="35" t="s">
        <v>541</v>
      </c>
      <c r="G32" s="17" t="s">
        <v>2285</v>
      </c>
      <c r="H32" s="13" t="s">
        <v>1955</v>
      </c>
      <c r="I32" s="35" t="s">
        <v>2963</v>
      </c>
      <c r="J32" s="8" t="str">
        <f t="shared" si="3"/>
        <v>Nguyễn Long Đại</v>
      </c>
      <c r="K32" s="8" t="str">
        <f t="shared" si="5"/>
        <v>Vỹ</v>
      </c>
    </row>
    <row r="33" spans="1:11" s="8" customFormat="1" ht="19.5" customHeight="1">
      <c r="A33" s="9">
        <f t="shared" si="0"/>
        <v>27</v>
      </c>
      <c r="B33" s="21" t="s">
        <v>1979</v>
      </c>
      <c r="C33" s="22" t="s">
        <v>281</v>
      </c>
      <c r="D33" s="12" t="s">
        <v>1982</v>
      </c>
      <c r="E33" s="35" t="s">
        <v>1008</v>
      </c>
      <c r="F33" s="35" t="s">
        <v>573</v>
      </c>
      <c r="G33" s="17" t="s">
        <v>2282</v>
      </c>
      <c r="H33" s="13" t="s">
        <v>1955</v>
      </c>
      <c r="I33" s="35" t="s">
        <v>2215</v>
      </c>
      <c r="J33" s="8" t="str">
        <f t="shared" si="3"/>
        <v>Lê Thị Như</v>
      </c>
      <c r="K33" s="8" t="str">
        <f t="shared" ref="K33:K35" si="6">PROPER(C33)</f>
        <v>Ý</v>
      </c>
    </row>
    <row r="34" spans="1:11" s="8" customFormat="1" ht="19.5" customHeight="1">
      <c r="A34" s="9">
        <f t="shared" si="0"/>
        <v>28</v>
      </c>
      <c r="B34" s="21" t="s">
        <v>2566</v>
      </c>
      <c r="C34" s="22" t="s">
        <v>315</v>
      </c>
      <c r="D34" s="12" t="s">
        <v>2567</v>
      </c>
      <c r="E34" s="35" t="s">
        <v>862</v>
      </c>
      <c r="F34" s="35" t="s">
        <v>573</v>
      </c>
      <c r="G34" s="17" t="s">
        <v>2959</v>
      </c>
      <c r="H34" s="13" t="s">
        <v>2557</v>
      </c>
      <c r="I34" s="35" t="s">
        <v>2204</v>
      </c>
      <c r="J34" s="8" t="str">
        <f t="shared" si="3"/>
        <v>Lê Thị Hoài</v>
      </c>
      <c r="K34" s="8" t="str">
        <f t="shared" si="6"/>
        <v>Nhi</v>
      </c>
    </row>
    <row r="35" spans="1:11" s="8" customFormat="1" ht="19.5" customHeight="1">
      <c r="A35" s="9">
        <f t="shared" si="0"/>
        <v>29</v>
      </c>
      <c r="B35" s="21" t="s">
        <v>2657</v>
      </c>
      <c r="C35" s="22" t="s">
        <v>351</v>
      </c>
      <c r="D35" s="12" t="s">
        <v>2658</v>
      </c>
      <c r="E35" s="35" t="s">
        <v>957</v>
      </c>
      <c r="F35" s="35" t="s">
        <v>573</v>
      </c>
      <c r="G35" s="17" t="s">
        <v>2991</v>
      </c>
      <c r="H35" s="13" t="s">
        <v>2640</v>
      </c>
      <c r="I35" s="35" t="s">
        <v>2204</v>
      </c>
      <c r="J35" s="8" t="str">
        <f t="shared" ref="J35" si="7">PROPER(B35)</f>
        <v>Nguyễn Trần Ly</v>
      </c>
      <c r="K35" s="8" t="str">
        <f t="shared" si="6"/>
        <v>Na</v>
      </c>
    </row>
    <row r="36" spans="1:11" s="8" customFormat="1" ht="19.5" customHeight="1">
      <c r="A36" s="9">
        <f t="shared" si="0"/>
        <v>30</v>
      </c>
      <c r="B36" s="21" t="s">
        <v>389</v>
      </c>
      <c r="C36" s="22" t="s">
        <v>390</v>
      </c>
      <c r="D36" s="12">
        <v>39512</v>
      </c>
      <c r="E36" s="35" t="s">
        <v>629</v>
      </c>
      <c r="F36" s="35" t="s">
        <v>541</v>
      </c>
      <c r="G36" s="17" t="s">
        <v>2276</v>
      </c>
      <c r="H36" s="13"/>
      <c r="I36" s="35" t="s">
        <v>2204</v>
      </c>
      <c r="J36" s="8" t="str">
        <f t="shared" ref="J36:J40" si="8">PROPER(B36)</f>
        <v xml:space="preserve">Hoàng Phương </v>
      </c>
      <c r="K36" s="8" t="str">
        <f t="shared" ref="K36:K40" si="9">PROPER(C36)</f>
        <v>Dung</v>
      </c>
    </row>
    <row r="37" spans="1:11" s="8" customFormat="1" ht="19.5" customHeight="1">
      <c r="A37" s="9">
        <f t="shared" si="0"/>
        <v>31</v>
      </c>
      <c r="B37" s="21" t="s">
        <v>1234</v>
      </c>
      <c r="C37" s="22" t="s">
        <v>100</v>
      </c>
      <c r="D37" s="12" t="s">
        <v>1239</v>
      </c>
      <c r="E37" s="35" t="s">
        <v>624</v>
      </c>
      <c r="F37" s="35" t="s">
        <v>541</v>
      </c>
      <c r="G37" s="17" t="s">
        <v>1741</v>
      </c>
      <c r="H37" s="13"/>
      <c r="I37" s="35" t="s">
        <v>2204</v>
      </c>
      <c r="J37" s="8" t="str">
        <f t="shared" si="8"/>
        <v>Đoàn Thị Nguyễn</v>
      </c>
      <c r="K37" s="8" t="str">
        <f t="shared" si="9"/>
        <v>Minh</v>
      </c>
    </row>
    <row r="38" spans="1:11" s="8" customFormat="1" ht="19.5" customHeight="1">
      <c r="A38" s="9">
        <f t="shared" si="0"/>
        <v>32</v>
      </c>
      <c r="B38" s="21" t="s">
        <v>412</v>
      </c>
      <c r="C38" s="22" t="s">
        <v>290</v>
      </c>
      <c r="D38" s="12">
        <v>39684</v>
      </c>
      <c r="E38" s="35" t="s">
        <v>705</v>
      </c>
      <c r="F38" s="35" t="s">
        <v>541</v>
      </c>
      <c r="G38" s="17" t="s">
        <v>1038</v>
      </c>
      <c r="H38" s="13"/>
      <c r="I38" s="35" t="s">
        <v>2204</v>
      </c>
      <c r="J38" s="8" t="str">
        <f t="shared" si="8"/>
        <v xml:space="preserve">Phan Nguyễn Kiều </v>
      </c>
      <c r="K38" s="8" t="str">
        <f t="shared" si="9"/>
        <v>Vy</v>
      </c>
    </row>
    <row r="39" spans="1:11" ht="20.25" customHeight="1">
      <c r="A39" s="9">
        <f t="shared" si="0"/>
        <v>33</v>
      </c>
      <c r="B39" s="21" t="s">
        <v>407</v>
      </c>
      <c r="C39" s="22" t="s">
        <v>298</v>
      </c>
      <c r="D39" s="15">
        <v>39562</v>
      </c>
      <c r="E39" s="37" t="s">
        <v>659</v>
      </c>
      <c r="F39" s="37" t="s">
        <v>556</v>
      </c>
      <c r="G39" s="38" t="s">
        <v>1031</v>
      </c>
      <c r="H39" s="16" t="s">
        <v>2773</v>
      </c>
      <c r="I39" s="37" t="s">
        <v>2204</v>
      </c>
      <c r="J39" s="8" t="str">
        <f t="shared" si="8"/>
        <v xml:space="preserve">Trần Thị Lâm </v>
      </c>
      <c r="K39" s="8" t="str">
        <f t="shared" si="9"/>
        <v>Oanh</v>
      </c>
    </row>
    <row r="40" spans="1:11" ht="20.25" customHeight="1">
      <c r="A40" s="9">
        <f t="shared" si="0"/>
        <v>34</v>
      </c>
      <c r="B40" s="21" t="s">
        <v>2805</v>
      </c>
      <c r="C40" s="22" t="s">
        <v>183</v>
      </c>
      <c r="D40" s="15">
        <v>39449</v>
      </c>
      <c r="E40" s="37" t="s">
        <v>2986</v>
      </c>
      <c r="F40" s="37" t="s">
        <v>549</v>
      </c>
      <c r="G40" s="38" t="s">
        <v>2987</v>
      </c>
      <c r="H40" s="16" t="s">
        <v>2806</v>
      </c>
      <c r="I40" s="37" t="s">
        <v>2204</v>
      </c>
      <c r="J40" s="8" t="str">
        <f t="shared" si="8"/>
        <v>Nguyễn Huỳnh Phương</v>
      </c>
      <c r="K40" s="8" t="str">
        <f t="shared" si="9"/>
        <v>Thảo</v>
      </c>
    </row>
    <row r="41" spans="1:11" ht="19.5" customHeight="1">
      <c r="A41" s="9">
        <f t="shared" si="0"/>
        <v>35</v>
      </c>
      <c r="B41" s="21" t="s">
        <v>1586</v>
      </c>
      <c r="C41" s="22" t="s">
        <v>232</v>
      </c>
      <c r="D41" s="12" t="s">
        <v>1558</v>
      </c>
      <c r="E41" s="35" t="s">
        <v>630</v>
      </c>
      <c r="F41" s="35" t="s">
        <v>541</v>
      </c>
      <c r="G41" s="17" t="s">
        <v>1737</v>
      </c>
      <c r="H41" s="13" t="s">
        <v>1602</v>
      </c>
      <c r="I41" s="37" t="s">
        <v>2204</v>
      </c>
      <c r="J41" s="8" t="str">
        <f t="shared" ref="J41:J44" si="10">PROPER(B41)</f>
        <v>Phan Huỳnh Hoàng</v>
      </c>
      <c r="K41" s="8" t="str">
        <f t="shared" ref="K41:K44" si="11">PROPER(C41)</f>
        <v>Hà</v>
      </c>
    </row>
    <row r="42" spans="1:11" ht="19.5" customHeight="1">
      <c r="A42" s="9">
        <f t="shared" si="0"/>
        <v>36</v>
      </c>
      <c r="B42" s="21" t="s">
        <v>3036</v>
      </c>
      <c r="C42" s="22" t="s">
        <v>166</v>
      </c>
      <c r="D42" s="12">
        <v>39801</v>
      </c>
      <c r="E42" s="35" t="s">
        <v>590</v>
      </c>
      <c r="F42" s="35" t="s">
        <v>541</v>
      </c>
      <c r="G42" s="17" t="s">
        <v>3069</v>
      </c>
      <c r="H42" s="13" t="s">
        <v>3029</v>
      </c>
      <c r="I42" s="35" t="s">
        <v>2204</v>
      </c>
      <c r="J42" s="8" t="str">
        <f t="shared" si="10"/>
        <v xml:space="preserve">Tạ Quốc </v>
      </c>
      <c r="K42" s="8" t="str">
        <f t="shared" si="11"/>
        <v>Hưng</v>
      </c>
    </row>
    <row r="43" spans="1:11" ht="19.5" customHeight="1">
      <c r="A43" s="9">
        <f t="shared" si="0"/>
        <v>37</v>
      </c>
      <c r="B43" s="21" t="s">
        <v>3056</v>
      </c>
      <c r="C43" s="22" t="s">
        <v>128</v>
      </c>
      <c r="D43" s="12" t="s">
        <v>3057</v>
      </c>
      <c r="E43" s="35" t="s">
        <v>787</v>
      </c>
      <c r="F43" s="35" t="s">
        <v>541</v>
      </c>
      <c r="G43" s="17" t="s">
        <v>3183</v>
      </c>
      <c r="H43" s="13" t="s">
        <v>3048</v>
      </c>
      <c r="I43" s="35" t="s">
        <v>2204</v>
      </c>
      <c r="J43" s="8" t="str">
        <f t="shared" si="10"/>
        <v>Lê Bá Quang</v>
      </c>
      <c r="K43" s="8" t="str">
        <f t="shared" si="11"/>
        <v>Huy</v>
      </c>
    </row>
    <row r="44" spans="1:11" ht="19.5" customHeight="1">
      <c r="A44" s="9">
        <f t="shared" si="0"/>
        <v>38</v>
      </c>
      <c r="B44" s="21" t="s">
        <v>2124</v>
      </c>
      <c r="C44" s="22" t="s">
        <v>3076</v>
      </c>
      <c r="D44" s="12" t="s">
        <v>2002</v>
      </c>
      <c r="E44" s="35" t="s">
        <v>3128</v>
      </c>
      <c r="F44" s="35" t="s">
        <v>556</v>
      </c>
      <c r="G44" s="17" t="s">
        <v>3129</v>
      </c>
      <c r="H44" s="13" t="s">
        <v>3070</v>
      </c>
      <c r="I44" s="35" t="s">
        <v>2204</v>
      </c>
      <c r="J44" s="8" t="str">
        <f t="shared" si="10"/>
        <v>Puih</v>
      </c>
      <c r="K44" s="8" t="str">
        <f t="shared" si="11"/>
        <v>Bữk</v>
      </c>
    </row>
    <row r="45" spans="1:11" ht="19.5" customHeight="1">
      <c r="A45" s="9">
        <f t="shared" si="0"/>
        <v>39</v>
      </c>
      <c r="B45" s="21" t="s">
        <v>3182</v>
      </c>
      <c r="C45" s="22" t="s">
        <v>2644</v>
      </c>
      <c r="D45" s="12">
        <v>39093</v>
      </c>
      <c r="E45" s="35" t="s">
        <v>2593</v>
      </c>
      <c r="F45" s="35" t="s">
        <v>553</v>
      </c>
      <c r="G45" s="17" t="s">
        <v>3184</v>
      </c>
      <c r="H45" s="13" t="s">
        <v>3179</v>
      </c>
      <c r="I45" s="35" t="s">
        <v>2204</v>
      </c>
      <c r="J45" s="8" t="str">
        <f t="shared" ref="J45:J46" si="12">PROPER(B45)</f>
        <v>Lăng Văn</v>
      </c>
      <c r="K45" s="8" t="str">
        <f t="shared" ref="K45:K46" si="13">PROPER(C45)</f>
        <v>Thông</v>
      </c>
    </row>
    <row r="46" spans="1:11" ht="19.5" customHeight="1">
      <c r="A46" s="9"/>
      <c r="B46" s="21"/>
      <c r="C46" s="22"/>
      <c r="D46" s="12"/>
      <c r="E46" s="35"/>
      <c r="F46" s="35"/>
      <c r="G46" s="17"/>
      <c r="H46" s="13"/>
      <c r="I46" s="35"/>
      <c r="J46" s="8" t="str">
        <f t="shared" si="12"/>
        <v/>
      </c>
      <c r="K46" s="8" t="str">
        <f t="shared" si="13"/>
        <v/>
      </c>
    </row>
    <row r="47" spans="1:11" ht="19.5" customHeight="1">
      <c r="A47" s="9"/>
      <c r="B47" s="21"/>
      <c r="C47" s="22"/>
      <c r="D47" s="12"/>
      <c r="E47" s="35"/>
      <c r="F47" s="35"/>
      <c r="G47" s="17"/>
      <c r="H47" s="13"/>
      <c r="I47" s="35"/>
      <c r="J47" s="8"/>
      <c r="K47" s="8"/>
    </row>
  </sheetData>
  <mergeCells count="8">
    <mergeCell ref="B6:C6"/>
    <mergeCell ref="A1:D1"/>
    <mergeCell ref="E1:H1"/>
    <mergeCell ref="A2:D2"/>
    <mergeCell ref="E2:H2"/>
    <mergeCell ref="A4:H4"/>
    <mergeCell ref="A5:H5"/>
    <mergeCell ref="E6:F6"/>
  </mergeCells>
  <pageMargins left="0.2" right="0.2" top="0.25" bottom="0.33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10" workbookViewId="0">
      <selection activeCell="I20" sqref="I20"/>
    </sheetView>
  </sheetViews>
  <sheetFormatPr defaultRowHeight="15"/>
  <cols>
    <col min="1" max="1" width="5.28515625" style="1" customWidth="1"/>
    <col min="2" max="2" width="19.5703125" style="1" customWidth="1"/>
    <col min="3" max="3" width="7.28515625" style="1" customWidth="1"/>
    <col min="4" max="4" width="12.5703125" style="1" customWidth="1"/>
    <col min="5" max="5" width="14.140625" style="1" customWidth="1"/>
    <col min="6" max="6" width="12.85546875" style="1" customWidth="1"/>
    <col min="7" max="7" width="13.28515625" style="1" customWidth="1"/>
    <col min="8" max="9" width="17.42578125" style="1" customWidth="1"/>
    <col min="10" max="10" width="20.85546875" style="1" customWidth="1"/>
    <col min="11" max="16384" width="9.140625" style="1"/>
  </cols>
  <sheetData>
    <row r="1" spans="1:11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  <c r="I1" s="189"/>
    </row>
    <row r="2" spans="1:11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  <c r="I2" s="189"/>
    </row>
    <row r="3" spans="1:11" ht="15.75" customHeight="1">
      <c r="A3" s="2"/>
      <c r="B3" s="3"/>
      <c r="C3" s="3"/>
      <c r="D3" s="3"/>
    </row>
    <row r="4" spans="1:11" ht="15.75" customHeight="1">
      <c r="A4" s="308" t="s">
        <v>10</v>
      </c>
      <c r="B4" s="308"/>
      <c r="C4" s="308"/>
      <c r="D4" s="308"/>
      <c r="E4" s="308"/>
      <c r="F4" s="308"/>
      <c r="G4" s="308"/>
      <c r="H4" s="308"/>
      <c r="I4" s="190"/>
    </row>
    <row r="5" spans="1:11" s="4" customFormat="1" ht="23.25" customHeight="1">
      <c r="A5" s="309" t="s">
        <v>424</v>
      </c>
      <c r="B5" s="309"/>
      <c r="C5" s="309"/>
      <c r="D5" s="309"/>
      <c r="E5" s="309"/>
      <c r="F5" s="309"/>
      <c r="G5" s="309"/>
      <c r="H5" s="309"/>
      <c r="I5" s="191"/>
    </row>
    <row r="6" spans="1:11" s="8" customFormat="1" ht="45.75" customHeight="1">
      <c r="A6" s="5" t="s">
        <v>4</v>
      </c>
      <c r="B6" s="302" t="s">
        <v>5</v>
      </c>
      <c r="C6" s="303"/>
      <c r="D6" s="6" t="s">
        <v>6</v>
      </c>
      <c r="E6" s="312" t="s">
        <v>11</v>
      </c>
      <c r="F6" s="313"/>
      <c r="G6" s="5" t="s">
        <v>8</v>
      </c>
      <c r="H6" s="5" t="s">
        <v>7</v>
      </c>
      <c r="I6" s="5" t="s">
        <v>2973</v>
      </c>
    </row>
    <row r="7" spans="1:11" s="8" customFormat="1" ht="19.5" customHeight="1">
      <c r="A7" s="9">
        <f>ROW()-6</f>
        <v>1</v>
      </c>
      <c r="B7" s="21" t="s">
        <v>427</v>
      </c>
      <c r="C7" s="22" t="s">
        <v>70</v>
      </c>
      <c r="D7" s="12">
        <v>39588</v>
      </c>
      <c r="E7" s="35" t="s">
        <v>703</v>
      </c>
      <c r="F7" s="35" t="s">
        <v>541</v>
      </c>
      <c r="G7" s="17" t="s">
        <v>736</v>
      </c>
      <c r="H7" s="13" t="s">
        <v>567</v>
      </c>
      <c r="I7" s="13" t="s">
        <v>2905</v>
      </c>
    </row>
    <row r="8" spans="1:11" s="8" customFormat="1" ht="19.5" customHeight="1">
      <c r="A8" s="9">
        <f t="shared" ref="A8:A30" si="0">ROW()-6</f>
        <v>2</v>
      </c>
      <c r="B8" s="21" t="s">
        <v>437</v>
      </c>
      <c r="C8" s="22" t="s">
        <v>70</v>
      </c>
      <c r="D8" s="12">
        <v>37126</v>
      </c>
      <c r="E8" s="35" t="s">
        <v>629</v>
      </c>
      <c r="F8" s="35" t="s">
        <v>541</v>
      </c>
      <c r="G8" s="17" t="s">
        <v>754</v>
      </c>
      <c r="H8" s="33" t="s">
        <v>1927</v>
      </c>
      <c r="I8" s="13" t="s">
        <v>2204</v>
      </c>
    </row>
    <row r="9" spans="1:11" s="8" customFormat="1" ht="19.5" customHeight="1">
      <c r="A9" s="9">
        <f t="shared" si="0"/>
        <v>3</v>
      </c>
      <c r="B9" s="21" t="s">
        <v>1951</v>
      </c>
      <c r="C9" s="22" t="s">
        <v>1135</v>
      </c>
      <c r="D9" s="12" t="s">
        <v>2033</v>
      </c>
      <c r="E9" s="35" t="s">
        <v>2739</v>
      </c>
      <c r="F9" s="35" t="s">
        <v>556</v>
      </c>
      <c r="G9" s="17" t="s">
        <v>2738</v>
      </c>
      <c r="H9" s="13" t="s">
        <v>1955</v>
      </c>
      <c r="I9" s="13" t="s">
        <v>2204</v>
      </c>
    </row>
    <row r="10" spans="1:11" s="8" customFormat="1" ht="25.5" customHeight="1">
      <c r="A10" s="9">
        <f t="shared" si="0"/>
        <v>4</v>
      </c>
      <c r="B10" s="21" t="s">
        <v>2024</v>
      </c>
      <c r="C10" s="22" t="s">
        <v>2025</v>
      </c>
      <c r="D10" s="12" t="s">
        <v>1657</v>
      </c>
      <c r="E10" s="35" t="s">
        <v>2095</v>
      </c>
      <c r="F10" s="35" t="s">
        <v>544</v>
      </c>
      <c r="G10" s="17" t="s">
        <v>2096</v>
      </c>
      <c r="H10" s="132" t="s">
        <v>2097</v>
      </c>
      <c r="I10" s="132" t="s">
        <v>2208</v>
      </c>
    </row>
    <row r="11" spans="1:11" s="8" customFormat="1" ht="19.5" customHeight="1">
      <c r="A11" s="9">
        <f t="shared" si="0"/>
        <v>5</v>
      </c>
      <c r="B11" s="21" t="s">
        <v>1263</v>
      </c>
      <c r="C11" s="22" t="s">
        <v>283</v>
      </c>
      <c r="D11" s="12" t="s">
        <v>1265</v>
      </c>
      <c r="E11" s="35" t="s">
        <v>1279</v>
      </c>
      <c r="F11" s="35" t="s">
        <v>553</v>
      </c>
      <c r="G11" s="17" t="s">
        <v>1280</v>
      </c>
      <c r="H11" s="13"/>
      <c r="I11" s="13" t="s">
        <v>2204</v>
      </c>
    </row>
    <row r="12" spans="1:11" s="8" customFormat="1" ht="19.5" customHeight="1">
      <c r="A12" s="9">
        <f t="shared" si="0"/>
        <v>6</v>
      </c>
      <c r="B12" s="21" t="s">
        <v>1251</v>
      </c>
      <c r="C12" s="22" t="s">
        <v>166</v>
      </c>
      <c r="D12" s="12" t="s">
        <v>1267</v>
      </c>
      <c r="E12" s="35" t="s">
        <v>717</v>
      </c>
      <c r="F12" s="35" t="s">
        <v>544</v>
      </c>
      <c r="G12" s="17" t="s">
        <v>1905</v>
      </c>
      <c r="H12" s="13"/>
      <c r="I12" s="13" t="s">
        <v>2215</v>
      </c>
    </row>
    <row r="13" spans="1:11" s="8" customFormat="1" ht="19.5" customHeight="1">
      <c r="A13" s="9">
        <f t="shared" si="0"/>
        <v>7</v>
      </c>
      <c r="B13" s="21" t="s">
        <v>425</v>
      </c>
      <c r="C13" s="22" t="s">
        <v>426</v>
      </c>
      <c r="D13" s="12">
        <v>39592</v>
      </c>
      <c r="E13" s="35" t="s">
        <v>735</v>
      </c>
      <c r="F13" s="35" t="s">
        <v>556</v>
      </c>
      <c r="G13" s="17" t="s">
        <v>737</v>
      </c>
      <c r="H13" s="13"/>
      <c r="I13" s="13" t="s">
        <v>2204</v>
      </c>
    </row>
    <row r="14" spans="1:11" s="8" customFormat="1" ht="19.5" customHeight="1">
      <c r="A14" s="9">
        <f t="shared" si="0"/>
        <v>8</v>
      </c>
      <c r="B14" s="21" t="s">
        <v>1420</v>
      </c>
      <c r="C14" s="22" t="s">
        <v>145</v>
      </c>
      <c r="D14" s="12">
        <v>39693</v>
      </c>
      <c r="E14" s="35" t="s">
        <v>714</v>
      </c>
      <c r="F14" s="35" t="s">
        <v>541</v>
      </c>
      <c r="G14" s="17" t="s">
        <v>1501</v>
      </c>
      <c r="H14" s="13"/>
      <c r="I14" s="13" t="s">
        <v>2905</v>
      </c>
    </row>
    <row r="15" spans="1:11" s="8" customFormat="1" ht="19.5" customHeight="1">
      <c r="A15" s="9">
        <f t="shared" si="0"/>
        <v>9</v>
      </c>
      <c r="B15" s="21" t="s">
        <v>504</v>
      </c>
      <c r="C15" s="22" t="s">
        <v>743</v>
      </c>
      <c r="D15" s="12">
        <v>33765</v>
      </c>
      <c r="E15" s="35" t="s">
        <v>733</v>
      </c>
      <c r="F15" s="35" t="s">
        <v>731</v>
      </c>
      <c r="G15" s="17" t="s">
        <v>741</v>
      </c>
      <c r="H15" s="13"/>
      <c r="I15" s="13" t="s">
        <v>2905</v>
      </c>
    </row>
    <row r="16" spans="1:11" s="8" customFormat="1" ht="19.5" customHeight="1">
      <c r="A16" s="9">
        <f t="shared" si="0"/>
        <v>10</v>
      </c>
      <c r="B16" s="21" t="s">
        <v>429</v>
      </c>
      <c r="C16" s="22" t="s">
        <v>262</v>
      </c>
      <c r="D16" s="12">
        <v>39509</v>
      </c>
      <c r="E16" s="35" t="s">
        <v>734</v>
      </c>
      <c r="F16" s="35" t="s">
        <v>573</v>
      </c>
      <c r="G16" s="17" t="s">
        <v>738</v>
      </c>
      <c r="H16" s="13"/>
      <c r="I16" s="13" t="s">
        <v>2905</v>
      </c>
      <c r="J16" s="8" t="str">
        <f t="shared" ref="J16:K22" si="1">PROPER(B16)</f>
        <v xml:space="preserve">Nguyễn Thị Hà </v>
      </c>
      <c r="K16" s="8" t="str">
        <f t="shared" si="1"/>
        <v>My</v>
      </c>
    </row>
    <row r="17" spans="1:11" s="8" customFormat="1" ht="19.5" customHeight="1">
      <c r="A17" s="9">
        <f t="shared" si="0"/>
        <v>11</v>
      </c>
      <c r="B17" s="21" t="s">
        <v>139</v>
      </c>
      <c r="C17" s="22" t="s">
        <v>92</v>
      </c>
      <c r="D17" s="12">
        <v>39496</v>
      </c>
      <c r="E17" s="35" t="s">
        <v>596</v>
      </c>
      <c r="F17" s="35" t="s">
        <v>544</v>
      </c>
      <c r="G17" s="17" t="s">
        <v>1024</v>
      </c>
      <c r="H17" s="13"/>
      <c r="I17" s="13" t="s">
        <v>2204</v>
      </c>
      <c r="J17" s="8" t="str">
        <f t="shared" si="1"/>
        <v xml:space="preserve">Nguyễn Tấn </v>
      </c>
      <c r="K17" s="8" t="str">
        <f t="shared" si="1"/>
        <v>Nhân</v>
      </c>
    </row>
    <row r="18" spans="1:11" s="8" customFormat="1" ht="19.5" customHeight="1">
      <c r="A18" s="9">
        <f t="shared" si="0"/>
        <v>12</v>
      </c>
      <c r="B18" s="21" t="s">
        <v>430</v>
      </c>
      <c r="C18" s="22" t="s">
        <v>363</v>
      </c>
      <c r="D18" s="12">
        <v>39742</v>
      </c>
      <c r="E18" s="35" t="s">
        <v>552</v>
      </c>
      <c r="F18" s="35" t="s">
        <v>553</v>
      </c>
      <c r="G18" s="17" t="s">
        <v>739</v>
      </c>
      <c r="H18" s="13" t="s">
        <v>578</v>
      </c>
      <c r="I18" s="13" t="s">
        <v>2905</v>
      </c>
      <c r="J18" s="8" t="str">
        <f t="shared" si="1"/>
        <v xml:space="preserve">Nguyễn Thị Như </v>
      </c>
      <c r="K18" s="8" t="str">
        <f t="shared" si="1"/>
        <v>Quỳnh</v>
      </c>
    </row>
    <row r="19" spans="1:11" s="8" customFormat="1" ht="19.5" customHeight="1">
      <c r="A19" s="9">
        <f t="shared" si="0"/>
        <v>13</v>
      </c>
      <c r="B19" s="21" t="s">
        <v>1264</v>
      </c>
      <c r="C19" s="22" t="s">
        <v>78</v>
      </c>
      <c r="D19" s="12" t="s">
        <v>1266</v>
      </c>
      <c r="E19" s="35" t="s">
        <v>3522</v>
      </c>
      <c r="F19" s="35" t="s">
        <v>544</v>
      </c>
      <c r="G19" s="17" t="s">
        <v>1500</v>
      </c>
      <c r="H19" s="13"/>
      <c r="I19" s="35" t="s">
        <v>2974</v>
      </c>
      <c r="J19" s="8" t="str">
        <f t="shared" si="1"/>
        <v>Trương Nguyễn Anh</v>
      </c>
      <c r="K19" s="8" t="str">
        <f t="shared" si="1"/>
        <v>Sang</v>
      </c>
    </row>
    <row r="20" spans="1:11" s="8" customFormat="1" ht="19.5" customHeight="1">
      <c r="A20" s="9">
        <f t="shared" si="0"/>
        <v>14</v>
      </c>
      <c r="B20" s="21" t="s">
        <v>1486</v>
      </c>
      <c r="C20" s="22" t="s">
        <v>312</v>
      </c>
      <c r="D20" s="12">
        <v>39080</v>
      </c>
      <c r="E20" s="35" t="s">
        <v>1503</v>
      </c>
      <c r="F20" s="35" t="s">
        <v>541</v>
      </c>
      <c r="G20" s="17" t="s">
        <v>1903</v>
      </c>
      <c r="H20" s="13"/>
      <c r="I20" s="13" t="s">
        <v>2905</v>
      </c>
      <c r="J20" s="8" t="str">
        <f t="shared" si="1"/>
        <v>Lê Nguyễn Nhật</v>
      </c>
      <c r="K20" s="8" t="str">
        <f t="shared" si="1"/>
        <v>Thi</v>
      </c>
    </row>
    <row r="21" spans="1:11" s="8" customFormat="1" ht="19.5" customHeight="1">
      <c r="A21" s="9">
        <f t="shared" si="0"/>
        <v>15</v>
      </c>
      <c r="B21" s="21" t="s">
        <v>1902</v>
      </c>
      <c r="C21" s="22" t="s">
        <v>452</v>
      </c>
      <c r="D21" s="12">
        <v>39794</v>
      </c>
      <c r="E21" s="35" t="s">
        <v>697</v>
      </c>
      <c r="F21" s="35" t="s">
        <v>556</v>
      </c>
      <c r="G21" s="17" t="s">
        <v>1293</v>
      </c>
      <c r="H21" s="13"/>
      <c r="I21" s="13" t="s">
        <v>2905</v>
      </c>
      <c r="J21" s="8" t="str">
        <f t="shared" si="1"/>
        <v>Trần Thị Mỹ</v>
      </c>
      <c r="K21" s="8" t="str">
        <f t="shared" si="1"/>
        <v>Tiên</v>
      </c>
    </row>
    <row r="22" spans="1:11" s="8" customFormat="1" ht="19.5" customHeight="1">
      <c r="A22" s="9">
        <f t="shared" si="0"/>
        <v>16</v>
      </c>
      <c r="B22" s="21" t="s">
        <v>1858</v>
      </c>
      <c r="C22" s="22" t="s">
        <v>1852</v>
      </c>
      <c r="D22" s="12">
        <v>39733</v>
      </c>
      <c r="E22" s="35" t="s">
        <v>918</v>
      </c>
      <c r="F22" s="35" t="s">
        <v>541</v>
      </c>
      <c r="G22" s="17" t="s">
        <v>2740</v>
      </c>
      <c r="H22" s="13"/>
      <c r="I22" s="13" t="s">
        <v>2905</v>
      </c>
      <c r="J22" s="8" t="str">
        <f t="shared" si="1"/>
        <v>Nguyễn Vũ Bảo</v>
      </c>
      <c r="K22" s="8" t="str">
        <f t="shared" si="1"/>
        <v>Trâm</v>
      </c>
    </row>
    <row r="23" spans="1:11" s="8" customFormat="1" ht="19.5" customHeight="1">
      <c r="A23" s="9">
        <f t="shared" si="0"/>
        <v>17</v>
      </c>
      <c r="B23" s="21" t="s">
        <v>428</v>
      </c>
      <c r="C23" s="22" t="s">
        <v>290</v>
      </c>
      <c r="D23" s="12">
        <v>39455</v>
      </c>
      <c r="E23" s="35" t="s">
        <v>603</v>
      </c>
      <c r="F23" s="35" t="s">
        <v>541</v>
      </c>
      <c r="G23" s="17" t="s">
        <v>740</v>
      </c>
      <c r="H23" s="13"/>
      <c r="I23" s="13" t="s">
        <v>2905</v>
      </c>
      <c r="J23" s="8" t="str">
        <f t="shared" ref="J23" si="2">PROPER(B23)</f>
        <v xml:space="preserve">Phan Nguyễn Khánh </v>
      </c>
      <c r="K23" s="8" t="str">
        <f t="shared" ref="K23" si="3">PROPER(C23)</f>
        <v>Vy</v>
      </c>
    </row>
    <row r="24" spans="1:11" s="8" customFormat="1" ht="19.5" customHeight="1">
      <c r="A24" s="9">
        <f t="shared" si="0"/>
        <v>18</v>
      </c>
      <c r="B24" s="21" t="s">
        <v>1857</v>
      </c>
      <c r="C24" s="22" t="s">
        <v>290</v>
      </c>
      <c r="D24" s="12" t="s">
        <v>1859</v>
      </c>
      <c r="E24" s="35" t="s">
        <v>570</v>
      </c>
      <c r="F24" s="35" t="s">
        <v>541</v>
      </c>
      <c r="G24" s="17" t="s">
        <v>1904</v>
      </c>
      <c r="H24" s="13"/>
      <c r="I24" s="13" t="s">
        <v>2905</v>
      </c>
      <c r="J24" s="8" t="str">
        <f t="shared" ref="J24:J27" si="4">PROPER(B24)</f>
        <v>Nguyễn Đoàn Khánh</v>
      </c>
      <c r="K24" s="8" t="str">
        <f t="shared" ref="K24:K27" si="5">PROPER(C24)</f>
        <v>Vy</v>
      </c>
    </row>
    <row r="25" spans="1:11" s="8" customFormat="1" ht="19.5" customHeight="1">
      <c r="A25" s="9">
        <f t="shared" si="0"/>
        <v>19</v>
      </c>
      <c r="B25" s="21" t="s">
        <v>2550</v>
      </c>
      <c r="C25" s="22" t="s">
        <v>252</v>
      </c>
      <c r="D25" s="12" t="s">
        <v>1097</v>
      </c>
      <c r="E25" s="35" t="s">
        <v>2918</v>
      </c>
      <c r="F25" s="35" t="s">
        <v>573</v>
      </c>
      <c r="G25" s="17" t="s">
        <v>2741</v>
      </c>
      <c r="H25" s="13" t="s">
        <v>2531</v>
      </c>
      <c r="I25" s="13" t="s">
        <v>2974</v>
      </c>
      <c r="J25" s="8" t="str">
        <f t="shared" si="4"/>
        <v>Hồ Tuấn</v>
      </c>
      <c r="K25" s="8" t="str">
        <f t="shared" si="5"/>
        <v>Tú</v>
      </c>
    </row>
    <row r="26" spans="1:11" s="8" customFormat="1" ht="19.5" customHeight="1">
      <c r="A26" s="9">
        <f t="shared" si="0"/>
        <v>20</v>
      </c>
      <c r="B26" s="21" t="s">
        <v>1108</v>
      </c>
      <c r="C26" s="22" t="s">
        <v>1421</v>
      </c>
      <c r="D26" s="12" t="s">
        <v>1204</v>
      </c>
      <c r="E26" s="35" t="s">
        <v>2743</v>
      </c>
      <c r="F26" s="35" t="s">
        <v>565</v>
      </c>
      <c r="G26" s="17" t="s">
        <v>2742</v>
      </c>
      <c r="H26" s="13" t="s">
        <v>2640</v>
      </c>
      <c r="I26" s="13" t="s">
        <v>2204</v>
      </c>
      <c r="J26" s="8" t="str">
        <f t="shared" si="4"/>
        <v>Nguyễn Tiến</v>
      </c>
      <c r="K26" s="8" t="str">
        <f t="shared" si="5"/>
        <v>Tâm</v>
      </c>
    </row>
    <row r="27" spans="1:11" s="8" customFormat="1" ht="19.5" customHeight="1">
      <c r="A27" s="9">
        <f t="shared" si="0"/>
        <v>21</v>
      </c>
      <c r="B27" s="21" t="s">
        <v>2672</v>
      </c>
      <c r="C27" s="22" t="s">
        <v>2673</v>
      </c>
      <c r="D27" s="12" t="s">
        <v>1968</v>
      </c>
      <c r="E27" s="35" t="s">
        <v>886</v>
      </c>
      <c r="F27" s="35" t="s">
        <v>541</v>
      </c>
      <c r="G27" s="17" t="s">
        <v>2744</v>
      </c>
      <c r="H27" s="13" t="s">
        <v>2640</v>
      </c>
      <c r="I27" s="13" t="s">
        <v>2204</v>
      </c>
      <c r="J27" s="8" t="str">
        <f t="shared" si="4"/>
        <v>Ngô Văn</v>
      </c>
      <c r="K27" s="8" t="str">
        <f t="shared" si="5"/>
        <v>Thạch</v>
      </c>
    </row>
    <row r="28" spans="1:11" s="8" customFormat="1" ht="19.5" customHeight="1">
      <c r="A28" s="9">
        <f t="shared" si="0"/>
        <v>22</v>
      </c>
      <c r="B28" s="21" t="s">
        <v>1192</v>
      </c>
      <c r="C28" s="22" t="s">
        <v>29</v>
      </c>
      <c r="D28" s="12">
        <v>39462</v>
      </c>
      <c r="E28" s="35" t="s">
        <v>749</v>
      </c>
      <c r="F28" s="35" t="s">
        <v>541</v>
      </c>
      <c r="G28" s="17" t="s">
        <v>2985</v>
      </c>
      <c r="H28" s="13" t="s">
        <v>2806</v>
      </c>
      <c r="I28" s="13" t="s">
        <v>2331</v>
      </c>
      <c r="J28" s="8" t="str">
        <f t="shared" ref="J28:J31" si="6">PROPER(B28)</f>
        <v>Nguyễn Công</v>
      </c>
      <c r="K28" s="8" t="str">
        <f t="shared" ref="K28:K31" si="7">PROPER(C28)</f>
        <v>Việt</v>
      </c>
    </row>
    <row r="29" spans="1:11" s="8" customFormat="1" ht="19.5" customHeight="1">
      <c r="A29" s="9">
        <f t="shared" si="0"/>
        <v>23</v>
      </c>
      <c r="B29" s="21" t="s">
        <v>2861</v>
      </c>
      <c r="C29" s="22" t="s">
        <v>2552</v>
      </c>
      <c r="D29" s="12" t="s">
        <v>2275</v>
      </c>
      <c r="E29" s="35" t="s">
        <v>3160</v>
      </c>
      <c r="F29" s="35" t="s">
        <v>544</v>
      </c>
      <c r="G29" s="17" t="s">
        <v>3161</v>
      </c>
      <c r="H29" s="13" t="s">
        <v>2844</v>
      </c>
      <c r="I29" s="13" t="s">
        <v>2204</v>
      </c>
      <c r="J29" s="8" t="str">
        <f t="shared" si="6"/>
        <v>Huỳnh Song</v>
      </c>
      <c r="K29" s="8" t="str">
        <f t="shared" si="7"/>
        <v>Hào</v>
      </c>
    </row>
    <row r="30" spans="1:11" s="8" customFormat="1" ht="19.5" customHeight="1">
      <c r="A30" s="9">
        <f t="shared" si="0"/>
        <v>24</v>
      </c>
      <c r="B30" s="21" t="s">
        <v>3221</v>
      </c>
      <c r="C30" s="22" t="s">
        <v>183</v>
      </c>
      <c r="D30" s="12" t="s">
        <v>1347</v>
      </c>
      <c r="E30" s="35" t="s">
        <v>618</v>
      </c>
      <c r="F30" s="35" t="s">
        <v>541</v>
      </c>
      <c r="G30" s="17" t="s">
        <v>3401</v>
      </c>
      <c r="H30" s="13" t="s">
        <v>3219</v>
      </c>
      <c r="I30" s="13" t="s">
        <v>2905</v>
      </c>
      <c r="J30" s="8" t="str">
        <f t="shared" si="6"/>
        <v>Vũ Ngọc Thanh</v>
      </c>
      <c r="K30" s="8" t="str">
        <f t="shared" si="7"/>
        <v>Thảo</v>
      </c>
    </row>
    <row r="31" spans="1:11" s="8" customFormat="1" ht="19.5" customHeight="1">
      <c r="A31" s="9"/>
      <c r="B31" s="21"/>
      <c r="C31" s="22"/>
      <c r="D31" s="12"/>
      <c r="E31" s="35"/>
      <c r="F31" s="35"/>
      <c r="G31" s="17"/>
      <c r="H31" s="13"/>
      <c r="I31" s="13"/>
      <c r="J31" s="8" t="str">
        <f t="shared" si="6"/>
        <v/>
      </c>
      <c r="K31" s="8" t="str">
        <f t="shared" si="7"/>
        <v/>
      </c>
    </row>
    <row r="32" spans="1:11" s="8" customFormat="1" ht="19.5" customHeight="1">
      <c r="A32" s="9"/>
      <c r="B32" s="21"/>
      <c r="C32" s="22"/>
      <c r="D32" s="12"/>
      <c r="E32" s="35"/>
      <c r="F32" s="35"/>
      <c r="G32" s="17"/>
      <c r="H32" s="13"/>
      <c r="I32" s="13"/>
    </row>
  </sheetData>
  <sortState ref="B8:H25">
    <sortCondition ref="C8:C25"/>
  </sortState>
  <mergeCells count="8">
    <mergeCell ref="B6:C6"/>
    <mergeCell ref="A1:D1"/>
    <mergeCell ref="E1:H1"/>
    <mergeCell ref="A2:D2"/>
    <mergeCell ref="E2:H2"/>
    <mergeCell ref="A4:H4"/>
    <mergeCell ref="A5:H5"/>
    <mergeCell ref="E6:F6"/>
  </mergeCells>
  <pageMargins left="0.2" right="0.2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opLeftCell="A28" workbookViewId="0">
      <selection activeCell="F43" sqref="F43"/>
    </sheetView>
  </sheetViews>
  <sheetFormatPr defaultRowHeight="15"/>
  <cols>
    <col min="1" max="1" width="5.28515625" style="1" customWidth="1"/>
    <col min="2" max="2" width="20.42578125" style="1" customWidth="1"/>
    <col min="3" max="3" width="8.28515625" style="1" customWidth="1"/>
    <col min="4" max="4" width="9.85546875" style="1" customWidth="1"/>
    <col min="5" max="5" width="15.7109375" style="1" customWidth="1"/>
    <col min="6" max="6" width="13.42578125" style="1" customWidth="1"/>
    <col min="7" max="7" width="19" style="1" customWidth="1"/>
    <col min="8" max="8" width="20.42578125" style="1" customWidth="1"/>
    <col min="9" max="9" width="22.5703125" style="176" customWidth="1"/>
    <col min="10" max="10" width="19.5703125" style="1" customWidth="1"/>
    <col min="11" max="16384" width="9.140625" style="1"/>
  </cols>
  <sheetData>
    <row r="1" spans="1:10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  <c r="I1" s="175"/>
    </row>
    <row r="2" spans="1:10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  <c r="I2" s="175"/>
    </row>
    <row r="3" spans="1:10" ht="15.75" customHeight="1">
      <c r="A3" s="2"/>
      <c r="B3" s="3"/>
      <c r="C3" s="3"/>
      <c r="D3" s="3"/>
    </row>
    <row r="4" spans="1:10" ht="15.75" customHeight="1">
      <c r="A4" s="308" t="s">
        <v>10</v>
      </c>
      <c r="B4" s="308"/>
      <c r="C4" s="308"/>
      <c r="D4" s="308"/>
      <c r="E4" s="308"/>
      <c r="F4" s="308"/>
      <c r="G4" s="308"/>
      <c r="H4" s="308"/>
      <c r="I4" s="177"/>
    </row>
    <row r="5" spans="1:10" s="4" customFormat="1" ht="23.25" customHeight="1">
      <c r="A5" s="309" t="s">
        <v>2610</v>
      </c>
      <c r="B5" s="309"/>
      <c r="C5" s="309"/>
      <c r="D5" s="309"/>
      <c r="E5" s="309"/>
      <c r="F5" s="309"/>
      <c r="G5" s="309"/>
      <c r="H5" s="309"/>
      <c r="I5" s="178"/>
    </row>
    <row r="6" spans="1:10" s="8" customFormat="1" ht="45.75" customHeight="1">
      <c r="A6" s="5" t="s">
        <v>4</v>
      </c>
      <c r="B6" s="302" t="s">
        <v>5</v>
      </c>
      <c r="C6" s="303"/>
      <c r="D6" s="6" t="s">
        <v>6</v>
      </c>
      <c r="E6" s="304" t="s">
        <v>11</v>
      </c>
      <c r="F6" s="305"/>
      <c r="G6" s="20" t="s">
        <v>226</v>
      </c>
      <c r="H6" s="7" t="s">
        <v>7</v>
      </c>
      <c r="I6" s="127" t="s">
        <v>2611</v>
      </c>
    </row>
    <row r="7" spans="1:10" s="8" customFormat="1" ht="18.75" customHeight="1">
      <c r="A7" s="9">
        <f t="shared" ref="A7:A41" si="0">ROW()-6</f>
        <v>1</v>
      </c>
      <c r="B7" s="21" t="s">
        <v>1670</v>
      </c>
      <c r="C7" s="22" t="s">
        <v>94</v>
      </c>
      <c r="D7" s="12" t="s">
        <v>2032</v>
      </c>
      <c r="E7" s="35" t="s">
        <v>2692</v>
      </c>
      <c r="F7" s="35" t="s">
        <v>556</v>
      </c>
      <c r="G7" s="17" t="s">
        <v>2693</v>
      </c>
      <c r="H7" s="13" t="s">
        <v>1955</v>
      </c>
      <c r="I7" s="132" t="s">
        <v>2215</v>
      </c>
      <c r="J7" s="32" t="s">
        <v>778</v>
      </c>
    </row>
    <row r="8" spans="1:10" s="8" customFormat="1" ht="18.75" customHeight="1">
      <c r="A8" s="9">
        <f t="shared" si="0"/>
        <v>2</v>
      </c>
      <c r="B8" s="21" t="s">
        <v>197</v>
      </c>
      <c r="C8" s="22" t="s">
        <v>445</v>
      </c>
      <c r="D8" s="12">
        <v>39730</v>
      </c>
      <c r="E8" s="35" t="s">
        <v>626</v>
      </c>
      <c r="F8" s="35" t="s">
        <v>541</v>
      </c>
      <c r="G8" s="17" t="s">
        <v>756</v>
      </c>
      <c r="H8" s="13"/>
      <c r="I8" s="180" t="s">
        <v>3250</v>
      </c>
      <c r="J8" s="32" t="s">
        <v>780</v>
      </c>
    </row>
    <row r="9" spans="1:10" s="8" customFormat="1" ht="18.75" customHeight="1">
      <c r="A9" s="9">
        <f t="shared" si="0"/>
        <v>3</v>
      </c>
      <c r="B9" s="54" t="s">
        <v>1773</v>
      </c>
      <c r="C9" s="57" t="s">
        <v>242</v>
      </c>
      <c r="D9" s="161" t="s">
        <v>2671</v>
      </c>
      <c r="E9" s="35" t="s">
        <v>3224</v>
      </c>
      <c r="F9" s="35" t="s">
        <v>541</v>
      </c>
      <c r="G9" s="17" t="s">
        <v>2980</v>
      </c>
      <c r="H9" s="13" t="s">
        <v>2640</v>
      </c>
      <c r="I9" s="132" t="s">
        <v>2204</v>
      </c>
    </row>
    <row r="10" spans="1:10" s="8" customFormat="1" ht="18.75" customHeight="1">
      <c r="A10" s="9">
        <f t="shared" si="0"/>
        <v>4</v>
      </c>
      <c r="B10" s="21" t="s">
        <v>2273</v>
      </c>
      <c r="C10" s="22" t="s">
        <v>2274</v>
      </c>
      <c r="D10" s="161" t="s">
        <v>2275</v>
      </c>
      <c r="E10" s="35" t="s">
        <v>2832</v>
      </c>
      <c r="F10" s="35" t="s">
        <v>544</v>
      </c>
      <c r="G10" s="17" t="s">
        <v>2676</v>
      </c>
      <c r="H10" s="13" t="s">
        <v>2243</v>
      </c>
      <c r="I10" s="132" t="s">
        <v>2204</v>
      </c>
    </row>
    <row r="11" spans="1:10" s="8" customFormat="1" ht="18.75" customHeight="1">
      <c r="A11" s="9">
        <f t="shared" si="0"/>
        <v>5</v>
      </c>
      <c r="B11" s="21" t="s">
        <v>444</v>
      </c>
      <c r="C11" s="22" t="s">
        <v>283</v>
      </c>
      <c r="D11" s="12">
        <v>39679</v>
      </c>
      <c r="E11" s="35" t="s">
        <v>1281</v>
      </c>
      <c r="F11" s="35" t="s">
        <v>556</v>
      </c>
      <c r="G11" s="17" t="s">
        <v>1282</v>
      </c>
      <c r="H11" s="13"/>
      <c r="I11" s="132" t="s">
        <v>2204</v>
      </c>
    </row>
    <row r="12" spans="1:10" s="8" customFormat="1" ht="18.75" customHeight="1">
      <c r="A12" s="9">
        <f t="shared" si="0"/>
        <v>6</v>
      </c>
      <c r="B12" s="21" t="s">
        <v>1256</v>
      </c>
      <c r="C12" s="22" t="s">
        <v>520</v>
      </c>
      <c r="D12" s="12" t="s">
        <v>1260</v>
      </c>
      <c r="E12" s="35" t="s">
        <v>1029</v>
      </c>
      <c r="F12" s="35" t="s">
        <v>573</v>
      </c>
      <c r="G12" s="17" t="s">
        <v>2682</v>
      </c>
      <c r="H12" s="13"/>
      <c r="I12" s="132" t="s">
        <v>2204</v>
      </c>
      <c r="J12" s="174" t="str">
        <f>PROPER(B12)</f>
        <v>Đỗ Thiên</v>
      </c>
    </row>
    <row r="13" spans="1:10" s="8" customFormat="1" ht="18.75" customHeight="1">
      <c r="A13" s="9">
        <f t="shared" si="0"/>
        <v>7</v>
      </c>
      <c r="B13" s="21" t="s">
        <v>1628</v>
      </c>
      <c r="C13" s="22" t="s">
        <v>347</v>
      </c>
      <c r="D13" s="12">
        <v>39744</v>
      </c>
      <c r="E13" s="35" t="s">
        <v>705</v>
      </c>
      <c r="F13" s="35" t="s">
        <v>541</v>
      </c>
      <c r="G13" s="17" t="s">
        <v>2703</v>
      </c>
      <c r="H13" s="13" t="s">
        <v>1620</v>
      </c>
      <c r="I13" s="132" t="s">
        <v>2215</v>
      </c>
    </row>
    <row r="14" spans="1:10" s="8" customFormat="1" ht="18.75" customHeight="1">
      <c r="A14" s="9">
        <f t="shared" si="0"/>
        <v>8</v>
      </c>
      <c r="B14" s="21" t="s">
        <v>1075</v>
      </c>
      <c r="C14" s="22" t="s">
        <v>128</v>
      </c>
      <c r="D14" s="12">
        <v>39537</v>
      </c>
      <c r="E14" s="35" t="s">
        <v>1503</v>
      </c>
      <c r="F14" s="35" t="s">
        <v>541</v>
      </c>
      <c r="G14" s="17" t="s">
        <v>1504</v>
      </c>
      <c r="H14" s="13"/>
      <c r="I14" s="132" t="s">
        <v>2207</v>
      </c>
    </row>
    <row r="15" spans="1:10" s="8" customFormat="1" ht="18.75" customHeight="1">
      <c r="A15" s="9">
        <f t="shared" si="0"/>
        <v>9</v>
      </c>
      <c r="B15" s="21" t="s">
        <v>1207</v>
      </c>
      <c r="C15" s="22" t="s">
        <v>128</v>
      </c>
      <c r="D15" s="12" t="s">
        <v>1675</v>
      </c>
      <c r="E15" s="35" t="s">
        <v>2704</v>
      </c>
      <c r="F15" s="35" t="s">
        <v>631</v>
      </c>
      <c r="G15" s="17" t="s">
        <v>2705</v>
      </c>
      <c r="H15" s="13" t="s">
        <v>1668</v>
      </c>
      <c r="I15" s="132" t="s">
        <v>2204</v>
      </c>
    </row>
    <row r="16" spans="1:10" s="8" customFormat="1" ht="18.75" customHeight="1">
      <c r="A16" s="9">
        <f t="shared" si="0"/>
        <v>10</v>
      </c>
      <c r="B16" s="21" t="s">
        <v>87</v>
      </c>
      <c r="C16" s="22" t="s">
        <v>310</v>
      </c>
      <c r="D16" s="12">
        <v>39579</v>
      </c>
      <c r="E16" s="35" t="s">
        <v>1043</v>
      </c>
      <c r="F16" s="35" t="s">
        <v>553</v>
      </c>
      <c r="G16" s="17" t="s">
        <v>1285</v>
      </c>
      <c r="H16" s="13"/>
      <c r="I16" s="132" t="s">
        <v>2204</v>
      </c>
      <c r="J16" s="8" t="str">
        <f>PROPER(B16)</f>
        <v xml:space="preserve">Nguyễn Ngọc </v>
      </c>
    </row>
    <row r="17" spans="1:11" s="8" customFormat="1" ht="18.75" customHeight="1">
      <c r="A17" s="9">
        <f t="shared" si="0"/>
        <v>11</v>
      </c>
      <c r="B17" s="21" t="s">
        <v>434</v>
      </c>
      <c r="C17" s="22" t="s">
        <v>426</v>
      </c>
      <c r="D17" s="12">
        <v>39517</v>
      </c>
      <c r="E17" s="35" t="s">
        <v>747</v>
      </c>
      <c r="F17" s="35" t="s">
        <v>553</v>
      </c>
      <c r="G17" s="17" t="s">
        <v>758</v>
      </c>
      <c r="H17" s="13"/>
      <c r="I17" s="13" t="s">
        <v>2204</v>
      </c>
      <c r="J17" s="32" t="str">
        <f>PROPER(B17)</f>
        <v xml:space="preserve">Huỳnh Anh </v>
      </c>
    </row>
    <row r="18" spans="1:11" s="8" customFormat="1" ht="18.75" customHeight="1">
      <c r="A18" s="9">
        <f t="shared" si="0"/>
        <v>12</v>
      </c>
      <c r="B18" s="21" t="s">
        <v>432</v>
      </c>
      <c r="C18" s="22" t="s">
        <v>145</v>
      </c>
      <c r="D18" s="12">
        <v>39802</v>
      </c>
      <c r="E18" s="35" t="s">
        <v>1283</v>
      </c>
      <c r="F18" s="35" t="s">
        <v>553</v>
      </c>
      <c r="G18" s="17" t="s">
        <v>1284</v>
      </c>
      <c r="H18" s="13"/>
      <c r="I18" s="132" t="s">
        <v>2204</v>
      </c>
      <c r="J18" s="69"/>
    </row>
    <row r="19" spans="1:11" s="8" customFormat="1" ht="18.75" customHeight="1">
      <c r="A19" s="9">
        <f t="shared" si="0"/>
        <v>13</v>
      </c>
      <c r="B19" s="21" t="s">
        <v>1731</v>
      </c>
      <c r="C19" s="22" t="s">
        <v>294</v>
      </c>
      <c r="D19" s="12">
        <v>39627</v>
      </c>
      <c r="E19" s="35" t="s">
        <v>592</v>
      </c>
      <c r="F19" s="35" t="s">
        <v>541</v>
      </c>
      <c r="G19" s="17" t="s">
        <v>2702</v>
      </c>
      <c r="H19" s="13" t="s">
        <v>1720</v>
      </c>
      <c r="I19" s="132" t="s">
        <v>2204</v>
      </c>
    </row>
    <row r="20" spans="1:11" s="8" customFormat="1" ht="18.75" customHeight="1">
      <c r="A20" s="9">
        <f t="shared" si="0"/>
        <v>14</v>
      </c>
      <c r="B20" s="21" t="s">
        <v>1923</v>
      </c>
      <c r="C20" s="22" t="s">
        <v>100</v>
      </c>
      <c r="D20" s="12">
        <v>39602</v>
      </c>
      <c r="E20" s="35" t="s">
        <v>2696</v>
      </c>
      <c r="F20" s="35" t="s">
        <v>553</v>
      </c>
      <c r="G20" s="17" t="s">
        <v>2697</v>
      </c>
      <c r="H20" s="13" t="s">
        <v>1912</v>
      </c>
      <c r="I20" s="132" t="s">
        <v>2204</v>
      </c>
      <c r="J20" s="32" t="s">
        <v>770</v>
      </c>
    </row>
    <row r="21" spans="1:11" s="8" customFormat="1" ht="18.75" customHeight="1">
      <c r="A21" s="9">
        <f t="shared" si="0"/>
        <v>15</v>
      </c>
      <c r="B21" s="21" t="s">
        <v>77</v>
      </c>
      <c r="C21" s="22" t="s">
        <v>9</v>
      </c>
      <c r="D21" s="12">
        <v>39664</v>
      </c>
      <c r="E21" s="35" t="s">
        <v>999</v>
      </c>
      <c r="F21" s="35" t="s">
        <v>556</v>
      </c>
      <c r="G21" s="17" t="s">
        <v>760</v>
      </c>
      <c r="H21" s="13"/>
      <c r="I21" s="180" t="s">
        <v>3334</v>
      </c>
      <c r="J21" s="58" t="s">
        <v>768</v>
      </c>
    </row>
    <row r="22" spans="1:11" s="8" customFormat="1" ht="18.75" customHeight="1">
      <c r="A22" s="9">
        <f t="shared" si="0"/>
        <v>16</v>
      </c>
      <c r="B22" s="21" t="s">
        <v>2030</v>
      </c>
      <c r="C22" s="22" t="s">
        <v>284</v>
      </c>
      <c r="D22" s="12" t="s">
        <v>2031</v>
      </c>
      <c r="E22" s="35" t="s">
        <v>703</v>
      </c>
      <c r="F22" s="35" t="s">
        <v>541</v>
      </c>
      <c r="G22" s="17" t="s">
        <v>2686</v>
      </c>
      <c r="H22" s="13" t="s">
        <v>1955</v>
      </c>
      <c r="I22" s="132" t="s">
        <v>2204</v>
      </c>
      <c r="J22" s="32" t="s">
        <v>767</v>
      </c>
      <c r="K22" s="8" t="str">
        <f t="shared" ref="K22:K31" si="1">PROPER(C22)</f>
        <v>Ngân</v>
      </c>
    </row>
    <row r="23" spans="1:11" s="8" customFormat="1" ht="18.75" customHeight="1">
      <c r="A23" s="9">
        <f t="shared" si="0"/>
        <v>17</v>
      </c>
      <c r="B23" s="21" t="s">
        <v>1673</v>
      </c>
      <c r="C23" s="22" t="s">
        <v>72</v>
      </c>
      <c r="D23" s="12" t="s">
        <v>1674</v>
      </c>
      <c r="E23" s="35" t="s">
        <v>711</v>
      </c>
      <c r="F23" s="35" t="s">
        <v>541</v>
      </c>
      <c r="G23" s="17" t="s">
        <v>2689</v>
      </c>
      <c r="H23" s="13" t="s">
        <v>1668</v>
      </c>
      <c r="I23" s="132" t="s">
        <v>2204</v>
      </c>
      <c r="K23" s="8" t="str">
        <f t="shared" si="1"/>
        <v>Nghĩa</v>
      </c>
    </row>
    <row r="24" spans="1:11" s="8" customFormat="1" ht="18.75" customHeight="1">
      <c r="A24" s="9">
        <f t="shared" si="0"/>
        <v>18</v>
      </c>
      <c r="B24" s="21" t="s">
        <v>1257</v>
      </c>
      <c r="C24" s="22" t="s">
        <v>331</v>
      </c>
      <c r="D24" s="12" t="s">
        <v>1261</v>
      </c>
      <c r="E24" s="35" t="s">
        <v>714</v>
      </c>
      <c r="F24" s="35" t="s">
        <v>541</v>
      </c>
      <c r="G24" s="17" t="s">
        <v>2678</v>
      </c>
      <c r="H24" s="13"/>
      <c r="I24" s="132" t="s">
        <v>2215</v>
      </c>
      <c r="K24" s="8" t="str">
        <f t="shared" si="1"/>
        <v>Ngọc</v>
      </c>
    </row>
    <row r="25" spans="1:11" s="8" customFormat="1" ht="18.75" customHeight="1">
      <c r="A25" s="9">
        <f t="shared" si="0"/>
        <v>19</v>
      </c>
      <c r="B25" s="21" t="s">
        <v>1118</v>
      </c>
      <c r="C25" s="22" t="s">
        <v>331</v>
      </c>
      <c r="D25" s="12" t="s">
        <v>1121</v>
      </c>
      <c r="E25" s="35" t="s">
        <v>968</v>
      </c>
      <c r="F25" s="35" t="s">
        <v>573</v>
      </c>
      <c r="G25" s="17" t="s">
        <v>1507</v>
      </c>
      <c r="H25" s="13"/>
      <c r="I25" s="13" t="s">
        <v>2204</v>
      </c>
      <c r="J25" s="174"/>
      <c r="K25" s="8" t="str">
        <f t="shared" si="1"/>
        <v>Ngọc</v>
      </c>
    </row>
    <row r="26" spans="1:11" s="8" customFormat="1" ht="18.75" customHeight="1">
      <c r="A26" s="9">
        <f t="shared" si="0"/>
        <v>20</v>
      </c>
      <c r="B26" s="21" t="s">
        <v>431</v>
      </c>
      <c r="C26" s="22" t="s">
        <v>331</v>
      </c>
      <c r="D26" s="12">
        <v>39540</v>
      </c>
      <c r="E26" s="35" t="s">
        <v>1288</v>
      </c>
      <c r="F26" s="35" t="s">
        <v>556</v>
      </c>
      <c r="G26" s="17" t="s">
        <v>1289</v>
      </c>
      <c r="H26" s="13"/>
      <c r="I26" s="13" t="s">
        <v>2204</v>
      </c>
      <c r="K26" s="8" t="str">
        <f t="shared" si="1"/>
        <v>Ngọc</v>
      </c>
    </row>
    <row r="27" spans="1:11" s="8" customFormat="1" ht="18.75" customHeight="1">
      <c r="A27" s="9">
        <f t="shared" si="0"/>
        <v>21</v>
      </c>
      <c r="B27" s="21" t="s">
        <v>454</v>
      </c>
      <c r="C27" s="22" t="s">
        <v>92</v>
      </c>
      <c r="D27" s="12">
        <v>39727</v>
      </c>
      <c r="E27" s="35" t="s">
        <v>711</v>
      </c>
      <c r="F27" s="35" t="s">
        <v>541</v>
      </c>
      <c r="G27" s="17" t="s">
        <v>762</v>
      </c>
      <c r="H27" s="13"/>
      <c r="I27" s="13" t="s">
        <v>2204</v>
      </c>
      <c r="J27" s="8" t="str">
        <f>PROPER(B27)</f>
        <v xml:space="preserve">Ngô Hoàng </v>
      </c>
      <c r="K27" s="8" t="str">
        <f t="shared" si="1"/>
        <v>Nhân</v>
      </c>
    </row>
    <row r="28" spans="1:11" s="8" customFormat="1" ht="18.75" customHeight="1">
      <c r="A28" s="9">
        <f t="shared" si="0"/>
        <v>22</v>
      </c>
      <c r="B28" s="21" t="s">
        <v>458</v>
      </c>
      <c r="C28" s="22" t="s">
        <v>315</v>
      </c>
      <c r="D28" s="12">
        <v>39496</v>
      </c>
      <c r="E28" s="35" t="s">
        <v>714</v>
      </c>
      <c r="F28" s="35" t="s">
        <v>541</v>
      </c>
      <c r="G28" s="17" t="s">
        <v>764</v>
      </c>
      <c r="H28" s="13"/>
      <c r="I28" s="132" t="s">
        <v>2618</v>
      </c>
      <c r="J28" s="8" t="str">
        <f>PROPER(B28)</f>
        <v xml:space="preserve">Nguyễn Phan Uyên </v>
      </c>
      <c r="K28" s="8" t="str">
        <f t="shared" si="1"/>
        <v>Nhi</v>
      </c>
    </row>
    <row r="29" spans="1:11" s="8" customFormat="1" ht="18.75" customHeight="1">
      <c r="A29" s="9">
        <f t="shared" si="0"/>
        <v>23</v>
      </c>
      <c r="B29" s="21" t="s">
        <v>1455</v>
      </c>
      <c r="C29" s="22" t="s">
        <v>19</v>
      </c>
      <c r="D29" s="12">
        <v>39724</v>
      </c>
      <c r="E29" s="35" t="s">
        <v>1513</v>
      </c>
      <c r="F29" s="35" t="s">
        <v>553</v>
      </c>
      <c r="G29" s="17" t="s">
        <v>1514</v>
      </c>
      <c r="H29" s="13"/>
      <c r="I29" s="132" t="s">
        <v>2204</v>
      </c>
      <c r="J29" s="8" t="str">
        <f>PROPER(B29)</f>
        <v>Ngô Hồng</v>
      </c>
      <c r="K29" s="8" t="str">
        <f t="shared" si="1"/>
        <v>Phúc</v>
      </c>
    </row>
    <row r="30" spans="1:11" s="8" customFormat="1" ht="18.75" customHeight="1">
      <c r="A30" s="9">
        <f t="shared" si="0"/>
        <v>24</v>
      </c>
      <c r="B30" s="21" t="s">
        <v>2130</v>
      </c>
      <c r="C30" s="22" t="s">
        <v>1425</v>
      </c>
      <c r="D30" s="12" t="s">
        <v>2132</v>
      </c>
      <c r="E30" s="35" t="s">
        <v>630</v>
      </c>
      <c r="F30" s="35" t="s">
        <v>541</v>
      </c>
      <c r="G30" s="17" t="s">
        <v>2695</v>
      </c>
      <c r="H30" s="13" t="s">
        <v>2106</v>
      </c>
      <c r="I30" s="132" t="s">
        <v>2204</v>
      </c>
      <c r="J30" s="8" t="str">
        <f>PROPER(B30)</f>
        <v>Trương Trần Quang</v>
      </c>
      <c r="K30" s="8" t="str">
        <f t="shared" si="1"/>
        <v>Sơn</v>
      </c>
    </row>
    <row r="31" spans="1:11" s="8" customFormat="1" ht="18.75" customHeight="1">
      <c r="A31" s="9">
        <f t="shared" si="0"/>
        <v>25</v>
      </c>
      <c r="B31" s="21" t="s">
        <v>1117</v>
      </c>
      <c r="C31" s="22" t="s">
        <v>183</v>
      </c>
      <c r="D31" s="12" t="s">
        <v>1120</v>
      </c>
      <c r="E31" s="35" t="s">
        <v>875</v>
      </c>
      <c r="F31" s="35" t="s">
        <v>573</v>
      </c>
      <c r="G31" s="17" t="s">
        <v>1508</v>
      </c>
      <c r="H31" s="13"/>
      <c r="I31" s="132" t="s">
        <v>2204</v>
      </c>
      <c r="J31" s="8" t="str">
        <f>PROPER(B31)</f>
        <v>Nguyễn Phương</v>
      </c>
      <c r="K31" s="8" t="str">
        <f t="shared" si="1"/>
        <v>Thảo</v>
      </c>
    </row>
    <row r="32" spans="1:11" s="8" customFormat="1" ht="18.75" customHeight="1">
      <c r="A32" s="9">
        <f t="shared" si="0"/>
        <v>26</v>
      </c>
      <c r="B32" s="55" t="s">
        <v>455</v>
      </c>
      <c r="C32" s="56" t="s">
        <v>62</v>
      </c>
      <c r="D32" s="162">
        <v>39407</v>
      </c>
      <c r="E32" s="35" t="s">
        <v>570</v>
      </c>
      <c r="F32" s="35" t="s">
        <v>541</v>
      </c>
      <c r="G32" s="17" t="s">
        <v>1005</v>
      </c>
      <c r="H32" s="13"/>
      <c r="I32" s="132" t="s">
        <v>2204</v>
      </c>
      <c r="J32" s="8" t="str">
        <f t="shared" ref="J32:K32" si="2">PROPER(B32)</f>
        <v xml:space="preserve">Nguyễn Bá </v>
      </c>
      <c r="K32" s="8" t="str">
        <f t="shared" si="2"/>
        <v>Thiện</v>
      </c>
    </row>
    <row r="33" spans="1:11" s="8" customFormat="1" ht="18.75" customHeight="1">
      <c r="A33" s="9">
        <f t="shared" si="0"/>
        <v>27</v>
      </c>
      <c r="B33" s="21" t="s">
        <v>2092</v>
      </c>
      <c r="C33" s="22" t="s">
        <v>339</v>
      </c>
      <c r="D33" s="12" t="s">
        <v>1875</v>
      </c>
      <c r="E33" s="35" t="s">
        <v>584</v>
      </c>
      <c r="F33" s="35" t="s">
        <v>544</v>
      </c>
      <c r="G33" s="17" t="s">
        <v>2688</v>
      </c>
      <c r="H33" s="33" t="s">
        <v>2687</v>
      </c>
      <c r="I33" s="132" t="s">
        <v>2207</v>
      </c>
      <c r="J33" s="8" t="str">
        <f t="shared" ref="J33:K35" si="3">PROPER(B33)</f>
        <v>Nguyễn Thị Huệ</v>
      </c>
      <c r="K33" s="8" t="str">
        <f t="shared" si="3"/>
        <v>Thương</v>
      </c>
    </row>
    <row r="34" spans="1:11" ht="21" customHeight="1">
      <c r="A34" s="9">
        <f t="shared" si="0"/>
        <v>28</v>
      </c>
      <c r="B34" s="21" t="s">
        <v>89</v>
      </c>
      <c r="C34" s="22" t="s">
        <v>151</v>
      </c>
      <c r="D34" s="12">
        <v>39659</v>
      </c>
      <c r="E34" s="35" t="s">
        <v>570</v>
      </c>
      <c r="F34" s="35" t="s">
        <v>541</v>
      </c>
      <c r="G34" s="17" t="s">
        <v>774</v>
      </c>
      <c r="H34" s="13"/>
      <c r="I34" s="132" t="s">
        <v>2204</v>
      </c>
      <c r="J34" s="8" t="str">
        <f t="shared" si="3"/>
        <v xml:space="preserve">Nguyễn Thành </v>
      </c>
      <c r="K34" s="8" t="str">
        <f t="shared" si="3"/>
        <v>Tiến</v>
      </c>
    </row>
    <row r="35" spans="1:11" ht="21" customHeight="1">
      <c r="A35" s="9">
        <f t="shared" si="0"/>
        <v>29</v>
      </c>
      <c r="B35" s="21" t="s">
        <v>1854</v>
      </c>
      <c r="C35" s="22" t="s">
        <v>224</v>
      </c>
      <c r="D35" s="12" t="s">
        <v>1856</v>
      </c>
      <c r="E35" s="35" t="s">
        <v>629</v>
      </c>
      <c r="F35" s="35" t="s">
        <v>541</v>
      </c>
      <c r="G35" s="17" t="s">
        <v>2700</v>
      </c>
      <c r="H35" s="13"/>
      <c r="I35" s="132" t="s">
        <v>2204</v>
      </c>
      <c r="J35" s="8" t="str">
        <f t="shared" si="3"/>
        <v>Nguyễn Viết Minh</v>
      </c>
      <c r="K35" s="8" t="str">
        <f t="shared" si="3"/>
        <v>Trí</v>
      </c>
    </row>
    <row r="36" spans="1:11" ht="20.25" customHeight="1">
      <c r="A36" s="9">
        <f t="shared" si="0"/>
        <v>30</v>
      </c>
      <c r="B36" s="21" t="s">
        <v>440</v>
      </c>
      <c r="C36" s="22" t="s">
        <v>441</v>
      </c>
      <c r="D36" s="12">
        <v>39478</v>
      </c>
      <c r="E36" s="35" t="s">
        <v>1286</v>
      </c>
      <c r="F36" s="35" t="s">
        <v>556</v>
      </c>
      <c r="G36" s="17" t="s">
        <v>1287</v>
      </c>
      <c r="H36" s="13" t="s">
        <v>2801</v>
      </c>
      <c r="I36" s="35" t="s">
        <v>2204</v>
      </c>
      <c r="J36" s="8" t="str">
        <f t="shared" ref="J36:J40" si="4">PROPER(B36)</f>
        <v xml:space="preserve">Lý Lân </v>
      </c>
      <c r="K36" s="8" t="str">
        <f t="shared" ref="K36:K40" si="5">PROPER(C36)</f>
        <v>Luân</v>
      </c>
    </row>
    <row r="37" spans="1:11" ht="20.25" customHeight="1">
      <c r="A37" s="9">
        <f t="shared" si="0"/>
        <v>31</v>
      </c>
      <c r="B37" s="21" t="s">
        <v>531</v>
      </c>
      <c r="C37" s="22" t="s">
        <v>128</v>
      </c>
      <c r="D37" s="12" t="s">
        <v>1349</v>
      </c>
      <c r="E37" s="35" t="s">
        <v>1389</v>
      </c>
      <c r="F37" s="35" t="s">
        <v>541</v>
      </c>
      <c r="G37" s="17" t="s">
        <v>1511</v>
      </c>
      <c r="H37" s="13" t="s">
        <v>2801</v>
      </c>
      <c r="I37" s="35" t="s">
        <v>2204</v>
      </c>
      <c r="J37" s="8" t="str">
        <f t="shared" si="4"/>
        <v>Phan Minh</v>
      </c>
      <c r="K37" s="8" t="str">
        <f t="shared" si="5"/>
        <v>Huy</v>
      </c>
    </row>
    <row r="38" spans="1:11" ht="20.25" customHeight="1">
      <c r="A38" s="9">
        <f t="shared" si="0"/>
        <v>32</v>
      </c>
      <c r="B38" s="21" t="s">
        <v>2021</v>
      </c>
      <c r="C38" s="22" t="s">
        <v>359</v>
      </c>
      <c r="D38" s="12" t="s">
        <v>2860</v>
      </c>
      <c r="E38" s="35" t="s">
        <v>885</v>
      </c>
      <c r="F38" s="35" t="s">
        <v>541</v>
      </c>
      <c r="G38" s="17" t="s">
        <v>2979</v>
      </c>
      <c r="H38" s="13" t="s">
        <v>2844</v>
      </c>
      <c r="I38" s="35" t="s">
        <v>2204</v>
      </c>
      <c r="J38" s="8" t="str">
        <f t="shared" si="4"/>
        <v>Nguyễn Đăng</v>
      </c>
      <c r="K38" s="8" t="str">
        <f t="shared" si="5"/>
        <v>Giang</v>
      </c>
    </row>
    <row r="39" spans="1:11" ht="20.25" customHeight="1">
      <c r="A39" s="9">
        <f t="shared" si="0"/>
        <v>33</v>
      </c>
      <c r="B39" s="21" t="s">
        <v>3083</v>
      </c>
      <c r="C39" s="22" t="s">
        <v>25</v>
      </c>
      <c r="D39" s="12" t="s">
        <v>1326</v>
      </c>
      <c r="E39" s="35" t="s">
        <v>2141</v>
      </c>
      <c r="F39" s="35" t="s">
        <v>573</v>
      </c>
      <c r="G39" s="17" t="s">
        <v>3119</v>
      </c>
      <c r="H39" s="13" t="s">
        <v>3070</v>
      </c>
      <c r="I39" s="35" t="s">
        <v>2220</v>
      </c>
      <c r="J39" s="8" t="str">
        <f t="shared" si="4"/>
        <v>Phùng Tiến</v>
      </c>
      <c r="K39" s="8" t="str">
        <f t="shared" si="5"/>
        <v>Đạt</v>
      </c>
    </row>
    <row r="40" spans="1:11" ht="20.25" customHeight="1">
      <c r="A40" s="9">
        <f t="shared" si="0"/>
        <v>34</v>
      </c>
      <c r="B40" s="21" t="s">
        <v>3248</v>
      </c>
      <c r="C40" s="22" t="s">
        <v>1112</v>
      </c>
      <c r="D40" s="12" t="s">
        <v>3249</v>
      </c>
      <c r="E40" s="35"/>
      <c r="F40" s="35"/>
      <c r="G40" s="17"/>
      <c r="H40" s="13" t="s">
        <v>3251</v>
      </c>
      <c r="I40" s="35" t="s">
        <v>2220</v>
      </c>
      <c r="J40" s="8" t="str">
        <f t="shared" si="4"/>
        <v>Đỗ Khánh</v>
      </c>
      <c r="K40" s="8" t="str">
        <f t="shared" si="5"/>
        <v>Dương</v>
      </c>
    </row>
    <row r="41" spans="1:11" ht="20.25" customHeight="1">
      <c r="A41" s="9">
        <f t="shared" si="0"/>
        <v>35</v>
      </c>
      <c r="B41" s="21" t="s">
        <v>3363</v>
      </c>
      <c r="C41" s="22" t="s">
        <v>3364</v>
      </c>
      <c r="D41" s="12">
        <v>38804</v>
      </c>
      <c r="E41" s="35"/>
      <c r="F41" s="35"/>
      <c r="G41" s="17"/>
      <c r="H41" s="13" t="s">
        <v>3349</v>
      </c>
      <c r="I41" s="35" t="s">
        <v>2204</v>
      </c>
      <c r="J41" s="8" t="str">
        <f t="shared" ref="J41:J43" si="6">PROPER(B41)</f>
        <v>Tô Đức</v>
      </c>
      <c r="K41" s="8" t="str">
        <f t="shared" ref="K41:K43" si="7">PROPER(C41)</f>
        <v>Sinh</v>
      </c>
    </row>
    <row r="42" spans="1:11" ht="20.25" customHeight="1">
      <c r="A42" s="9"/>
      <c r="B42" s="21"/>
      <c r="C42" s="22"/>
      <c r="D42" s="12"/>
      <c r="E42" s="35"/>
      <c r="F42" s="35"/>
      <c r="G42" s="17"/>
      <c r="H42" s="13"/>
      <c r="I42" s="35"/>
      <c r="J42" s="8" t="str">
        <f t="shared" si="6"/>
        <v/>
      </c>
      <c r="K42" s="8" t="str">
        <f t="shared" si="7"/>
        <v/>
      </c>
    </row>
    <row r="43" spans="1:11" ht="20.25" customHeight="1">
      <c r="A43" s="9"/>
      <c r="B43" s="21"/>
      <c r="C43" s="22"/>
      <c r="D43" s="12"/>
      <c r="E43" s="35"/>
      <c r="F43" s="35"/>
      <c r="G43" s="17"/>
      <c r="H43" s="13"/>
      <c r="I43" s="35"/>
      <c r="J43" s="8" t="str">
        <f t="shared" si="6"/>
        <v/>
      </c>
      <c r="K43" s="8" t="str">
        <f t="shared" si="7"/>
        <v/>
      </c>
    </row>
  </sheetData>
  <sortState ref="B7:I39">
    <sortCondition ref="C7:C39"/>
  </sortState>
  <mergeCells count="8">
    <mergeCell ref="B6:C6"/>
    <mergeCell ref="E6:F6"/>
    <mergeCell ref="A1:D1"/>
    <mergeCell ref="E1:H1"/>
    <mergeCell ref="A2:D2"/>
    <mergeCell ref="E2:H2"/>
    <mergeCell ref="A4:H4"/>
    <mergeCell ref="A5:H5"/>
  </mergeCells>
  <pageMargins left="0.2" right="0.22" top="0.33" bottom="0.31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opLeftCell="A28" zoomScaleNormal="100" workbookViewId="0">
      <selection activeCell="B41" sqref="B41:D42"/>
    </sheetView>
  </sheetViews>
  <sheetFormatPr defaultRowHeight="15"/>
  <cols>
    <col min="1" max="1" width="5.28515625" style="1" customWidth="1"/>
    <col min="2" max="2" width="20.42578125" style="1" customWidth="1"/>
    <col min="3" max="3" width="8.28515625" style="1" customWidth="1"/>
    <col min="4" max="4" width="9.85546875" style="1" customWidth="1"/>
    <col min="5" max="5" width="15.7109375" style="1" customWidth="1"/>
    <col min="6" max="6" width="12.42578125" style="1" customWidth="1"/>
    <col min="7" max="7" width="18.42578125" style="1" customWidth="1"/>
    <col min="8" max="8" width="14" style="1" customWidth="1"/>
    <col min="9" max="9" width="25.85546875" style="1" customWidth="1"/>
    <col min="10" max="10" width="22.140625" style="1" customWidth="1"/>
    <col min="11" max="16384" width="9.140625" style="1"/>
  </cols>
  <sheetData>
    <row r="1" spans="1:10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  <c r="I1" s="169"/>
    </row>
    <row r="2" spans="1:10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  <c r="I2" s="169"/>
    </row>
    <row r="3" spans="1:10" ht="15.75" customHeight="1">
      <c r="A3" s="2"/>
      <c r="B3" s="3"/>
      <c r="C3" s="3"/>
      <c r="D3" s="3"/>
    </row>
    <row r="4" spans="1:10" ht="15.75" customHeight="1">
      <c r="A4" s="308" t="s">
        <v>10</v>
      </c>
      <c r="B4" s="308"/>
      <c r="C4" s="308"/>
      <c r="D4" s="308"/>
      <c r="E4" s="308"/>
      <c r="F4" s="308"/>
      <c r="G4" s="308"/>
      <c r="H4" s="308"/>
      <c r="I4" s="170"/>
    </row>
    <row r="5" spans="1:10" s="4" customFormat="1" ht="23.25" customHeight="1">
      <c r="A5" s="309" t="s">
        <v>2609</v>
      </c>
      <c r="B5" s="309"/>
      <c r="C5" s="309"/>
      <c r="D5" s="309"/>
      <c r="E5" s="309"/>
      <c r="F5" s="309"/>
      <c r="G5" s="309"/>
      <c r="H5" s="309"/>
      <c r="I5" s="171"/>
    </row>
    <row r="6" spans="1:10" s="8" customFormat="1" ht="45.75" customHeight="1">
      <c r="A6" s="5" t="s">
        <v>4</v>
      </c>
      <c r="B6" s="302" t="s">
        <v>5</v>
      </c>
      <c r="C6" s="303"/>
      <c r="D6" s="6" t="s">
        <v>6</v>
      </c>
      <c r="E6" s="304" t="s">
        <v>11</v>
      </c>
      <c r="F6" s="305"/>
      <c r="G6" s="20" t="s">
        <v>1359</v>
      </c>
      <c r="H6" s="7" t="s">
        <v>7</v>
      </c>
      <c r="I6" s="20" t="s">
        <v>2674</v>
      </c>
    </row>
    <row r="7" spans="1:10" s="8" customFormat="1" ht="18.75" customHeight="1">
      <c r="A7" s="9">
        <f t="shared" ref="A7:A33" si="0">ROW()-6</f>
        <v>1</v>
      </c>
      <c r="B7" s="21" t="s">
        <v>217</v>
      </c>
      <c r="C7" s="22" t="s">
        <v>55</v>
      </c>
      <c r="D7" s="12">
        <v>39768</v>
      </c>
      <c r="E7" s="35" t="s">
        <v>745</v>
      </c>
      <c r="F7" s="35" t="s">
        <v>556</v>
      </c>
      <c r="G7" s="17" t="s">
        <v>755</v>
      </c>
      <c r="H7" s="13"/>
      <c r="I7" s="35" t="s">
        <v>2204</v>
      </c>
      <c r="J7" s="32" t="s">
        <v>779</v>
      </c>
    </row>
    <row r="8" spans="1:10" s="8" customFormat="1" ht="18.75" customHeight="1">
      <c r="A8" s="9">
        <f t="shared" si="0"/>
        <v>2</v>
      </c>
      <c r="B8" s="21" t="s">
        <v>446</v>
      </c>
      <c r="C8" s="22" t="s">
        <v>447</v>
      </c>
      <c r="D8" s="12">
        <v>39780</v>
      </c>
      <c r="E8" s="35" t="s">
        <v>746</v>
      </c>
      <c r="F8" s="35" t="s">
        <v>556</v>
      </c>
      <c r="G8" s="17" t="s">
        <v>757</v>
      </c>
      <c r="H8" s="13"/>
      <c r="I8" s="35" t="s">
        <v>2207</v>
      </c>
      <c r="J8" s="32" t="str">
        <f>PROPER(B8)</f>
        <v xml:space="preserve">Tô Thị Thúy </v>
      </c>
    </row>
    <row r="9" spans="1:10" s="8" customFormat="1" ht="18.75" customHeight="1">
      <c r="A9" s="9">
        <f t="shared" si="0"/>
        <v>3</v>
      </c>
      <c r="B9" s="21" t="s">
        <v>744</v>
      </c>
      <c r="C9" s="22" t="s">
        <v>232</v>
      </c>
      <c r="D9" s="12">
        <v>31452</v>
      </c>
      <c r="E9" s="35" t="s">
        <v>753</v>
      </c>
      <c r="F9" s="35" t="s">
        <v>573</v>
      </c>
      <c r="G9" s="17" t="s">
        <v>777</v>
      </c>
      <c r="H9" s="179" t="s">
        <v>2683</v>
      </c>
      <c r="I9" s="35" t="s">
        <v>2204</v>
      </c>
      <c r="J9" s="58" t="str">
        <f>PROPER(B9)</f>
        <v>Lê Xuân</v>
      </c>
    </row>
    <row r="10" spans="1:10" s="8" customFormat="1" ht="18.75" customHeight="1">
      <c r="A10" s="9">
        <f t="shared" si="0"/>
        <v>4</v>
      </c>
      <c r="B10" s="21" t="s">
        <v>1139</v>
      </c>
      <c r="C10" s="22" t="s">
        <v>283</v>
      </c>
      <c r="D10" s="12" t="s">
        <v>2570</v>
      </c>
      <c r="E10" s="35" t="s">
        <v>2977</v>
      </c>
      <c r="F10" s="35" t="s">
        <v>565</v>
      </c>
      <c r="G10" s="17" t="s">
        <v>2978</v>
      </c>
      <c r="H10" s="13" t="s">
        <v>2557</v>
      </c>
      <c r="I10" s="35" t="s">
        <v>2905</v>
      </c>
      <c r="J10" s="79"/>
    </row>
    <row r="11" spans="1:10" s="8" customFormat="1" ht="18.75" customHeight="1">
      <c r="A11" s="9">
        <f t="shared" si="0"/>
        <v>5</v>
      </c>
      <c r="B11" s="21" t="s">
        <v>1417</v>
      </c>
      <c r="C11" s="22" t="s">
        <v>42</v>
      </c>
      <c r="D11" s="12" t="s">
        <v>1415</v>
      </c>
      <c r="E11" s="35" t="s">
        <v>787</v>
      </c>
      <c r="F11" s="35" t="s">
        <v>541</v>
      </c>
      <c r="G11" s="17" t="s">
        <v>2681</v>
      </c>
      <c r="H11" s="13"/>
      <c r="I11" s="35" t="s">
        <v>2207</v>
      </c>
    </row>
    <row r="12" spans="1:10" s="8" customFormat="1" ht="18.75" customHeight="1">
      <c r="A12" s="9">
        <f t="shared" si="0"/>
        <v>6</v>
      </c>
      <c r="B12" s="21" t="s">
        <v>1950</v>
      </c>
      <c r="C12" s="22" t="s">
        <v>166</v>
      </c>
      <c r="D12" s="12">
        <v>39678</v>
      </c>
      <c r="E12" s="35" t="s">
        <v>1436</v>
      </c>
      <c r="F12" s="35" t="s">
        <v>573</v>
      </c>
      <c r="G12" s="17" t="s">
        <v>2677</v>
      </c>
      <c r="H12" s="13" t="s">
        <v>1936</v>
      </c>
      <c r="I12" s="35" t="s">
        <v>2215</v>
      </c>
      <c r="J12" s="32" t="str">
        <f>PROPER(B12)</f>
        <v>Nguyễn Văn Quốc</v>
      </c>
    </row>
    <row r="13" spans="1:10" s="8" customFormat="1" ht="18.75" customHeight="1">
      <c r="A13" s="9">
        <f t="shared" si="0"/>
        <v>7</v>
      </c>
      <c r="B13" s="21" t="s">
        <v>1119</v>
      </c>
      <c r="C13" s="22" t="s">
        <v>347</v>
      </c>
      <c r="D13" s="12" t="s">
        <v>1122</v>
      </c>
      <c r="E13" s="35" t="s">
        <v>749</v>
      </c>
      <c r="F13" s="35" t="s">
        <v>541</v>
      </c>
      <c r="G13" s="17" t="s">
        <v>1502</v>
      </c>
      <c r="H13" s="13"/>
      <c r="I13" s="35" t="s">
        <v>2204</v>
      </c>
    </row>
    <row r="14" spans="1:10" s="8" customFormat="1" ht="18.75" customHeight="1">
      <c r="A14" s="9">
        <f t="shared" si="0"/>
        <v>8</v>
      </c>
      <c r="B14" s="21" t="s">
        <v>1951</v>
      </c>
      <c r="C14" s="22" t="s">
        <v>128</v>
      </c>
      <c r="D14" s="161" t="s">
        <v>1237</v>
      </c>
      <c r="E14" s="35" t="s">
        <v>782</v>
      </c>
      <c r="F14" s="35" t="s">
        <v>556</v>
      </c>
      <c r="G14" s="17" t="s">
        <v>2675</v>
      </c>
      <c r="H14" s="13" t="s">
        <v>2243</v>
      </c>
      <c r="I14" s="35" t="s">
        <v>2204</v>
      </c>
      <c r="J14" s="32" t="str">
        <f>PROPER(B14)</f>
        <v>Bùi Quang</v>
      </c>
    </row>
    <row r="15" spans="1:10" s="8" customFormat="1" ht="18.75" customHeight="1">
      <c r="A15" s="9">
        <f t="shared" si="0"/>
        <v>9</v>
      </c>
      <c r="B15" s="21" t="s">
        <v>453</v>
      </c>
      <c r="C15" s="22" t="s">
        <v>60</v>
      </c>
      <c r="D15" s="12">
        <v>39794</v>
      </c>
      <c r="E15" s="35" t="s">
        <v>703</v>
      </c>
      <c r="F15" s="35" t="s">
        <v>541</v>
      </c>
      <c r="G15" s="17" t="s">
        <v>759</v>
      </c>
      <c r="H15" s="13"/>
      <c r="I15" s="35" t="s">
        <v>2204</v>
      </c>
      <c r="J15" s="32" t="str">
        <f>PROPER(B15)</f>
        <v xml:space="preserve">Lê Đức </v>
      </c>
    </row>
    <row r="16" spans="1:10" s="8" customFormat="1" ht="18.75" customHeight="1">
      <c r="A16" s="9">
        <f t="shared" si="0"/>
        <v>10</v>
      </c>
      <c r="B16" s="21" t="s">
        <v>1258</v>
      </c>
      <c r="C16" s="22" t="s">
        <v>294</v>
      </c>
      <c r="D16" s="12">
        <v>39684</v>
      </c>
      <c r="E16" s="35" t="s">
        <v>1505</v>
      </c>
      <c r="F16" s="35" t="s">
        <v>573</v>
      </c>
      <c r="G16" s="17" t="s">
        <v>1506</v>
      </c>
      <c r="H16" s="13"/>
      <c r="I16" s="132" t="s">
        <v>2204</v>
      </c>
      <c r="J16" s="8" t="str">
        <f>PROPER(B16)</f>
        <v>Lê Thị Thùy</v>
      </c>
    </row>
    <row r="17" spans="1:11" s="8" customFormat="1" ht="18.75" customHeight="1">
      <c r="A17" s="9">
        <f t="shared" si="0"/>
        <v>11</v>
      </c>
      <c r="B17" s="21" t="s">
        <v>1418</v>
      </c>
      <c r="C17" s="22" t="s">
        <v>472</v>
      </c>
      <c r="D17" s="12" t="s">
        <v>1416</v>
      </c>
      <c r="E17" s="35" t="s">
        <v>714</v>
      </c>
      <c r="F17" s="35" t="s">
        <v>541</v>
      </c>
      <c r="G17" s="17" t="s">
        <v>1512</v>
      </c>
      <c r="H17" s="13"/>
      <c r="I17" s="35" t="s">
        <v>2207</v>
      </c>
    </row>
    <row r="18" spans="1:11" s="8" customFormat="1" ht="18.75" customHeight="1">
      <c r="A18" s="9">
        <f t="shared" si="0"/>
        <v>12</v>
      </c>
      <c r="B18" s="21" t="s">
        <v>1853</v>
      </c>
      <c r="C18" s="22" t="s">
        <v>262</v>
      </c>
      <c r="D18" s="12" t="s">
        <v>1855</v>
      </c>
      <c r="E18" s="35" t="s">
        <v>1636</v>
      </c>
      <c r="F18" s="35" t="s">
        <v>541</v>
      </c>
      <c r="G18" s="17" t="s">
        <v>2698</v>
      </c>
      <c r="H18" s="13"/>
      <c r="I18" s="35" t="s">
        <v>2204</v>
      </c>
      <c r="J18" s="32" t="s">
        <v>769</v>
      </c>
    </row>
    <row r="19" spans="1:11" s="8" customFormat="1" ht="18.75" customHeight="1">
      <c r="A19" s="9">
        <f t="shared" si="0"/>
        <v>13</v>
      </c>
      <c r="B19" s="21" t="s">
        <v>1356</v>
      </c>
      <c r="C19" s="22" t="s">
        <v>72</v>
      </c>
      <c r="D19" s="12" t="s">
        <v>1348</v>
      </c>
      <c r="E19" s="35" t="s">
        <v>603</v>
      </c>
      <c r="F19" s="35" t="s">
        <v>541</v>
      </c>
      <c r="G19" s="17" t="s">
        <v>1510</v>
      </c>
      <c r="H19" s="13"/>
      <c r="I19" s="35" t="s">
        <v>2204</v>
      </c>
      <c r="K19" s="8" t="str">
        <f t="shared" ref="K19:K29" si="1">PROPER(C19)</f>
        <v>Nghĩa</v>
      </c>
    </row>
    <row r="20" spans="1:11" s="8" customFormat="1" ht="18.75" customHeight="1">
      <c r="A20" s="9">
        <f t="shared" si="0"/>
        <v>14</v>
      </c>
      <c r="B20" s="21" t="s">
        <v>439</v>
      </c>
      <c r="C20" s="22" t="s">
        <v>331</v>
      </c>
      <c r="D20" s="12">
        <v>39714</v>
      </c>
      <c r="E20" s="35" t="s">
        <v>748</v>
      </c>
      <c r="F20" s="35" t="s">
        <v>541</v>
      </c>
      <c r="G20" s="17" t="s">
        <v>761</v>
      </c>
      <c r="H20" s="13"/>
      <c r="I20" s="35" t="s">
        <v>2204</v>
      </c>
      <c r="K20" s="8" t="str">
        <f t="shared" si="1"/>
        <v>Ngọc</v>
      </c>
    </row>
    <row r="21" spans="1:11" s="8" customFormat="1" ht="18.75" customHeight="1">
      <c r="A21" s="9">
        <f t="shared" si="0"/>
        <v>15</v>
      </c>
      <c r="B21" s="21" t="s">
        <v>1888</v>
      </c>
      <c r="C21" s="22" t="s">
        <v>216</v>
      </c>
      <c r="D21" s="12" t="s">
        <v>1885</v>
      </c>
      <c r="E21" s="35" t="s">
        <v>579</v>
      </c>
      <c r="F21" s="35" t="s">
        <v>541</v>
      </c>
      <c r="G21" s="17" t="s">
        <v>2701</v>
      </c>
      <c r="H21" s="13" t="s">
        <v>1862</v>
      </c>
      <c r="I21" s="35" t="s">
        <v>2601</v>
      </c>
      <c r="K21" s="8" t="str">
        <f t="shared" si="1"/>
        <v>Nguyên</v>
      </c>
    </row>
    <row r="22" spans="1:11" s="8" customFormat="1" ht="18.75" customHeight="1">
      <c r="A22" s="9">
        <f t="shared" si="0"/>
        <v>16</v>
      </c>
      <c r="B22" s="21" t="s">
        <v>443</v>
      </c>
      <c r="C22" s="22" t="s">
        <v>315</v>
      </c>
      <c r="D22" s="15">
        <v>39569</v>
      </c>
      <c r="E22" s="37" t="s">
        <v>691</v>
      </c>
      <c r="F22" s="37" t="s">
        <v>541</v>
      </c>
      <c r="G22" s="38" t="s">
        <v>763</v>
      </c>
      <c r="H22" s="16" t="s">
        <v>567</v>
      </c>
      <c r="I22" s="37" t="s">
        <v>2204</v>
      </c>
      <c r="J22" s="8" t="s">
        <v>776</v>
      </c>
      <c r="K22" s="8" t="str">
        <f t="shared" si="1"/>
        <v>Nhi</v>
      </c>
    </row>
    <row r="23" spans="1:11" s="8" customFormat="1" ht="18.75" customHeight="1">
      <c r="A23" s="9">
        <f t="shared" si="0"/>
        <v>17</v>
      </c>
      <c r="B23" s="21" t="s">
        <v>457</v>
      </c>
      <c r="C23" s="22" t="s">
        <v>19</v>
      </c>
      <c r="D23" s="12">
        <v>37901</v>
      </c>
      <c r="E23" s="35" t="s">
        <v>749</v>
      </c>
      <c r="F23" s="35" t="s">
        <v>541</v>
      </c>
      <c r="G23" s="17" t="s">
        <v>765</v>
      </c>
      <c r="H23" s="13" t="s">
        <v>578</v>
      </c>
      <c r="I23" s="35" t="s">
        <v>2632</v>
      </c>
      <c r="J23" s="8" t="str">
        <f t="shared" ref="J23:J29" si="2">PROPER(B23)</f>
        <v xml:space="preserve">Đặng Công Hoàng  </v>
      </c>
      <c r="K23" s="8" t="str">
        <f t="shared" si="1"/>
        <v>Phúc</v>
      </c>
    </row>
    <row r="24" spans="1:11" s="8" customFormat="1" ht="18.75" customHeight="1">
      <c r="A24" s="9">
        <f t="shared" si="0"/>
        <v>18</v>
      </c>
      <c r="B24" s="21" t="s">
        <v>225</v>
      </c>
      <c r="C24" s="22" t="s">
        <v>201</v>
      </c>
      <c r="D24" s="12">
        <v>39711</v>
      </c>
      <c r="E24" s="35" t="s">
        <v>676</v>
      </c>
      <c r="F24" s="35" t="s">
        <v>541</v>
      </c>
      <c r="G24" s="17" t="s">
        <v>766</v>
      </c>
      <c r="H24" s="13"/>
      <c r="I24" s="35" t="s">
        <v>2204</v>
      </c>
      <c r="J24" s="8" t="str">
        <f t="shared" si="2"/>
        <v xml:space="preserve">Trần Thanh </v>
      </c>
      <c r="K24" s="8" t="str">
        <f t="shared" si="1"/>
        <v>Quân</v>
      </c>
    </row>
    <row r="25" spans="1:11" s="8" customFormat="1" ht="18.75" customHeight="1">
      <c r="A25" s="9">
        <f t="shared" si="0"/>
        <v>19</v>
      </c>
      <c r="B25" s="21" t="s">
        <v>1155</v>
      </c>
      <c r="C25" s="22" t="s">
        <v>318</v>
      </c>
      <c r="D25" s="162">
        <v>38761</v>
      </c>
      <c r="E25" s="35" t="s">
        <v>1494</v>
      </c>
      <c r="F25" s="35" t="s">
        <v>1495</v>
      </c>
      <c r="G25" s="17" t="s">
        <v>1496</v>
      </c>
      <c r="H25" s="36" t="s">
        <v>2394</v>
      </c>
      <c r="I25" s="193" t="s">
        <v>2996</v>
      </c>
      <c r="J25" s="8" t="str">
        <f t="shared" si="2"/>
        <v>Đặng Thị</v>
      </c>
      <c r="K25" s="8" t="str">
        <f t="shared" si="1"/>
        <v>Quyên</v>
      </c>
    </row>
    <row r="26" spans="1:11" s="8" customFormat="1" ht="18.75" customHeight="1">
      <c r="A26" s="9">
        <f t="shared" si="0"/>
        <v>20</v>
      </c>
      <c r="B26" s="21" t="s">
        <v>1255</v>
      </c>
      <c r="C26" s="22" t="s">
        <v>118</v>
      </c>
      <c r="D26" s="162" t="s">
        <v>1259</v>
      </c>
      <c r="E26" s="35" t="s">
        <v>1290</v>
      </c>
      <c r="F26" s="35" t="s">
        <v>541</v>
      </c>
      <c r="G26" s="17" t="s">
        <v>1291</v>
      </c>
      <c r="H26" s="13"/>
      <c r="I26" s="35" t="s">
        <v>2204</v>
      </c>
      <c r="J26" s="8" t="str">
        <f t="shared" si="2"/>
        <v>Võ Thiện</v>
      </c>
      <c r="K26" s="8" t="str">
        <f t="shared" si="1"/>
        <v>Thành</v>
      </c>
    </row>
    <row r="27" spans="1:11" s="8" customFormat="1" ht="18.75" customHeight="1">
      <c r="A27" s="9">
        <f t="shared" si="0"/>
        <v>21</v>
      </c>
      <c r="B27" s="21" t="s">
        <v>442</v>
      </c>
      <c r="C27" s="22" t="s">
        <v>47</v>
      </c>
      <c r="D27" s="12">
        <v>39524</v>
      </c>
      <c r="E27" s="35" t="s">
        <v>590</v>
      </c>
      <c r="F27" s="35" t="s">
        <v>541</v>
      </c>
      <c r="G27" s="17" t="s">
        <v>1509</v>
      </c>
      <c r="H27" s="13"/>
      <c r="I27" s="35" t="s">
        <v>2204</v>
      </c>
      <c r="J27" s="8" t="str">
        <f t="shared" si="2"/>
        <v xml:space="preserve">Lê Quốc </v>
      </c>
      <c r="K27" s="8" t="str">
        <f t="shared" si="1"/>
        <v>Thịnh</v>
      </c>
    </row>
    <row r="28" spans="1:11" s="8" customFormat="1" ht="18.75" customHeight="1">
      <c r="A28" s="9">
        <f t="shared" si="0"/>
        <v>22</v>
      </c>
      <c r="B28" s="21" t="s">
        <v>449</v>
      </c>
      <c r="C28" s="22" t="s">
        <v>450</v>
      </c>
      <c r="D28" s="12">
        <v>39708</v>
      </c>
      <c r="E28" s="35" t="s">
        <v>750</v>
      </c>
      <c r="F28" s="35" t="s">
        <v>541</v>
      </c>
      <c r="G28" s="17" t="s">
        <v>771</v>
      </c>
      <c r="H28" s="17"/>
      <c r="I28" s="50" t="s">
        <v>2204</v>
      </c>
      <c r="J28" s="8" t="str">
        <f t="shared" si="2"/>
        <v xml:space="preserve">Đỗ An </v>
      </c>
      <c r="K28" s="8" t="str">
        <f t="shared" si="1"/>
        <v>Thuyên</v>
      </c>
    </row>
    <row r="29" spans="1:11" s="8" customFormat="1" ht="18.75" customHeight="1">
      <c r="A29" s="9">
        <f t="shared" si="0"/>
        <v>23</v>
      </c>
      <c r="B29" s="21" t="s">
        <v>448</v>
      </c>
      <c r="C29" s="22" t="s">
        <v>380</v>
      </c>
      <c r="D29" s="12">
        <v>39441</v>
      </c>
      <c r="E29" s="35" t="s">
        <v>751</v>
      </c>
      <c r="F29" s="35" t="s">
        <v>544</v>
      </c>
      <c r="G29" s="17" t="s">
        <v>772</v>
      </c>
      <c r="H29" s="13"/>
      <c r="I29" s="50" t="s">
        <v>2204</v>
      </c>
      <c r="J29" s="8" t="str">
        <f t="shared" si="2"/>
        <v xml:space="preserve">Đặng Nhật Bảo </v>
      </c>
      <c r="K29" s="8" t="str">
        <f t="shared" si="1"/>
        <v>Thy</v>
      </c>
    </row>
    <row r="30" spans="1:11" s="8" customFormat="1" ht="18.75" customHeight="1">
      <c r="A30" s="9">
        <f t="shared" si="0"/>
        <v>24</v>
      </c>
      <c r="B30" s="21" t="s">
        <v>1548</v>
      </c>
      <c r="C30" s="22" t="s">
        <v>151</v>
      </c>
      <c r="D30" s="12" t="s">
        <v>2131</v>
      </c>
      <c r="E30" s="35" t="s">
        <v>629</v>
      </c>
      <c r="F30" s="35" t="s">
        <v>541</v>
      </c>
      <c r="G30" s="17" t="s">
        <v>2694</v>
      </c>
      <c r="H30" s="13" t="s">
        <v>2106</v>
      </c>
      <c r="I30" s="35" t="s">
        <v>2207</v>
      </c>
      <c r="J30" s="8" t="e">
        <f>PROPER(#REF!)</f>
        <v>#REF!</v>
      </c>
      <c r="K30" s="8" t="e">
        <f>PROPER(#REF!)</f>
        <v>#REF!</v>
      </c>
    </row>
    <row r="31" spans="1:11" s="8" customFormat="1" ht="18.75" customHeight="1">
      <c r="A31" s="9">
        <f t="shared" si="0"/>
        <v>25</v>
      </c>
      <c r="B31" s="21" t="s">
        <v>2549</v>
      </c>
      <c r="C31" s="22" t="s">
        <v>1852</v>
      </c>
      <c r="D31" s="12">
        <v>39537</v>
      </c>
      <c r="E31" s="35" t="s">
        <v>659</v>
      </c>
      <c r="F31" s="35" t="s">
        <v>544</v>
      </c>
      <c r="G31" s="17" t="s">
        <v>2684</v>
      </c>
      <c r="H31" s="13" t="s">
        <v>2531</v>
      </c>
      <c r="I31" s="35" t="s">
        <v>2204</v>
      </c>
      <c r="J31" s="8" t="e">
        <f>PROPER(#REF!)</f>
        <v>#REF!</v>
      </c>
      <c r="K31" s="8" t="e">
        <f>PROPER(#REF!)</f>
        <v>#REF!</v>
      </c>
    </row>
    <row r="32" spans="1:11" s="8" customFormat="1" ht="18.75" customHeight="1">
      <c r="A32" s="9">
        <f t="shared" si="0"/>
        <v>26</v>
      </c>
      <c r="B32" s="21" t="s">
        <v>433</v>
      </c>
      <c r="C32" s="22" t="s">
        <v>287</v>
      </c>
      <c r="D32" s="12">
        <v>39731</v>
      </c>
      <c r="E32" s="35" t="s">
        <v>659</v>
      </c>
      <c r="F32" s="35" t="s">
        <v>544</v>
      </c>
      <c r="G32" s="17" t="s">
        <v>1003</v>
      </c>
      <c r="H32" s="13"/>
      <c r="I32" s="35" t="s">
        <v>2207</v>
      </c>
      <c r="J32" s="8" t="e">
        <f>PROPER(#REF!)</f>
        <v>#REF!</v>
      </c>
      <c r="K32" s="8" t="e">
        <f>PROPER(#REF!)</f>
        <v>#REF!</v>
      </c>
    </row>
    <row r="33" spans="1:11" s="8" customFormat="1" ht="21" customHeight="1">
      <c r="A33" s="9">
        <f t="shared" si="0"/>
        <v>27</v>
      </c>
      <c r="B33" s="21" t="s">
        <v>435</v>
      </c>
      <c r="C33" s="22" t="s">
        <v>436</v>
      </c>
      <c r="D33" s="12">
        <v>39748</v>
      </c>
      <c r="E33" s="35" t="s">
        <v>752</v>
      </c>
      <c r="F33" s="35" t="s">
        <v>556</v>
      </c>
      <c r="G33" s="17" t="s">
        <v>775</v>
      </c>
      <c r="H33" s="13"/>
      <c r="I33" s="35" t="s">
        <v>2204</v>
      </c>
    </row>
    <row r="34" spans="1:11" s="8" customFormat="1" ht="18.75" customHeight="1">
      <c r="A34" s="9">
        <f t="shared" ref="A34:A42" si="3">ROW()-6</f>
        <v>28</v>
      </c>
      <c r="B34" s="21" t="s">
        <v>2093</v>
      </c>
      <c r="C34" s="22" t="s">
        <v>68</v>
      </c>
      <c r="D34" s="12" t="s">
        <v>2094</v>
      </c>
      <c r="E34" s="35" t="s">
        <v>1374</v>
      </c>
      <c r="F34" s="35" t="s">
        <v>556</v>
      </c>
      <c r="G34" s="17" t="s">
        <v>2685</v>
      </c>
      <c r="H34" s="13" t="s">
        <v>2072</v>
      </c>
      <c r="I34" s="35" t="s">
        <v>2204</v>
      </c>
      <c r="J34" s="8" t="str">
        <f>PROPER(B34)</f>
        <v>Vũ Văn</v>
      </c>
      <c r="K34" s="8" t="str">
        <f>PROPER(C34)</f>
        <v>Trường</v>
      </c>
    </row>
    <row r="35" spans="1:11" s="8" customFormat="1" ht="18.75" customHeight="1">
      <c r="A35" s="9">
        <f t="shared" si="3"/>
        <v>29</v>
      </c>
      <c r="B35" s="21" t="s">
        <v>1111</v>
      </c>
      <c r="C35" s="22" t="s">
        <v>470</v>
      </c>
      <c r="D35" s="12" t="s">
        <v>1414</v>
      </c>
      <c r="E35" s="35" t="s">
        <v>630</v>
      </c>
      <c r="F35" s="35" t="s">
        <v>541</v>
      </c>
      <c r="G35" s="17" t="s">
        <v>2680</v>
      </c>
      <c r="H35" s="13"/>
      <c r="I35" s="35" t="s">
        <v>2428</v>
      </c>
      <c r="J35" s="8" t="str">
        <f t="shared" ref="J35:J42" si="4">PROPER(B35)</f>
        <v>Võ Thị</v>
      </c>
      <c r="K35" s="8" t="str">
        <f t="shared" ref="K35:K42" si="5">PROPER(C35)</f>
        <v>Vân</v>
      </c>
    </row>
    <row r="36" spans="1:11" s="8" customFormat="1" ht="18.75" customHeight="1">
      <c r="A36" s="9">
        <f t="shared" si="3"/>
        <v>30</v>
      </c>
      <c r="B36" s="21" t="s">
        <v>1419</v>
      </c>
      <c r="C36" s="22" t="s">
        <v>277</v>
      </c>
      <c r="D36" s="12" t="s">
        <v>1242</v>
      </c>
      <c r="E36" s="35" t="s">
        <v>703</v>
      </c>
      <c r="F36" s="35" t="s">
        <v>541</v>
      </c>
      <c r="G36" s="17" t="s">
        <v>2679</v>
      </c>
      <c r="H36" s="13"/>
      <c r="I36" s="35" t="s">
        <v>2204</v>
      </c>
      <c r="J36" s="8" t="str">
        <f t="shared" si="4"/>
        <v xml:space="preserve">Đỗ Tâm </v>
      </c>
      <c r="K36" s="8" t="str">
        <f t="shared" si="5"/>
        <v>Như</v>
      </c>
    </row>
    <row r="37" spans="1:11" s="8" customFormat="1" ht="18.75" customHeight="1">
      <c r="A37" s="9">
        <f t="shared" si="3"/>
        <v>31</v>
      </c>
      <c r="B37" s="21" t="s">
        <v>2771</v>
      </c>
      <c r="C37" s="22" t="s">
        <v>290</v>
      </c>
      <c r="D37" s="12">
        <v>39783</v>
      </c>
      <c r="E37" s="35" t="s">
        <v>873</v>
      </c>
      <c r="F37" s="35" t="s">
        <v>544</v>
      </c>
      <c r="G37" s="17" t="s">
        <v>2981</v>
      </c>
      <c r="H37" s="13" t="s">
        <v>2759</v>
      </c>
      <c r="I37" s="35" t="s">
        <v>2905</v>
      </c>
      <c r="J37" s="8" t="str">
        <f t="shared" si="4"/>
        <v>Lê Thị Kiều</v>
      </c>
      <c r="K37" s="8" t="str">
        <f t="shared" si="5"/>
        <v>Vy</v>
      </c>
    </row>
    <row r="38" spans="1:11" s="8" customFormat="1" ht="18.75" customHeight="1">
      <c r="A38" s="9">
        <f t="shared" si="3"/>
        <v>32</v>
      </c>
      <c r="B38" s="21" t="s">
        <v>1599</v>
      </c>
      <c r="C38" s="22" t="s">
        <v>359</v>
      </c>
      <c r="D38" s="12">
        <v>39606</v>
      </c>
      <c r="E38" s="35" t="s">
        <v>875</v>
      </c>
      <c r="F38" s="35" t="s">
        <v>573</v>
      </c>
      <c r="G38" s="17" t="s">
        <v>2690</v>
      </c>
      <c r="H38" s="13" t="s">
        <v>1602</v>
      </c>
      <c r="I38" s="132" t="s">
        <v>2802</v>
      </c>
      <c r="J38" s="8" t="str">
        <f t="shared" si="4"/>
        <v>Trần Thị Hương</v>
      </c>
      <c r="K38" s="8" t="str">
        <f t="shared" si="5"/>
        <v>Giang</v>
      </c>
    </row>
    <row r="39" spans="1:11" ht="20.25" customHeight="1">
      <c r="A39" s="9">
        <f t="shared" si="3"/>
        <v>33</v>
      </c>
      <c r="B39" s="21" t="s">
        <v>456</v>
      </c>
      <c r="C39" s="22" t="s">
        <v>166</v>
      </c>
      <c r="D39" s="12">
        <v>39484</v>
      </c>
      <c r="E39" s="35" t="s">
        <v>748</v>
      </c>
      <c r="F39" s="35" t="s">
        <v>541</v>
      </c>
      <c r="G39" s="17" t="s">
        <v>1004</v>
      </c>
      <c r="H39" s="35" t="s">
        <v>2041</v>
      </c>
      <c r="I39" s="132" t="s">
        <v>2204</v>
      </c>
      <c r="J39" s="8" t="str">
        <f t="shared" si="4"/>
        <v xml:space="preserve">Huỳnh Đăng Gia </v>
      </c>
      <c r="K39" s="8" t="str">
        <f t="shared" si="5"/>
        <v>Hưng</v>
      </c>
    </row>
    <row r="40" spans="1:11" ht="20.25" customHeight="1">
      <c r="A40" s="9">
        <f t="shared" si="3"/>
        <v>34</v>
      </c>
      <c r="B40" s="21" t="s">
        <v>2380</v>
      </c>
      <c r="C40" s="22" t="s">
        <v>145</v>
      </c>
      <c r="D40" s="12" t="s">
        <v>3178</v>
      </c>
      <c r="E40" s="35"/>
      <c r="F40" s="35"/>
      <c r="G40" s="17" t="s">
        <v>3266</v>
      </c>
      <c r="H40" s="35" t="s">
        <v>3179</v>
      </c>
      <c r="I40" s="132" t="s">
        <v>2204</v>
      </c>
      <c r="J40" s="8" t="str">
        <f t="shared" si="4"/>
        <v>Ngô Thị Kim</v>
      </c>
      <c r="K40" s="8" t="str">
        <f t="shared" si="5"/>
        <v>Khánh</v>
      </c>
    </row>
    <row r="41" spans="1:11" ht="20.25" customHeight="1">
      <c r="A41" s="9">
        <f t="shared" si="3"/>
        <v>35</v>
      </c>
      <c r="B41" s="21" t="s">
        <v>3478</v>
      </c>
      <c r="C41" s="22" t="s">
        <v>201</v>
      </c>
      <c r="D41" s="12">
        <v>34742</v>
      </c>
      <c r="E41" s="35"/>
      <c r="F41" s="35"/>
      <c r="G41" s="17"/>
      <c r="H41" s="35" t="s">
        <v>3479</v>
      </c>
      <c r="I41" s="132" t="s">
        <v>2204</v>
      </c>
      <c r="J41" s="8" t="str">
        <f t="shared" si="4"/>
        <v>Hứa Minh</v>
      </c>
      <c r="K41" s="8" t="str">
        <f t="shared" si="5"/>
        <v>Quân</v>
      </c>
    </row>
    <row r="42" spans="1:11" ht="20.25" customHeight="1">
      <c r="A42" s="9">
        <f t="shared" si="3"/>
        <v>36</v>
      </c>
      <c r="B42" s="21" t="s">
        <v>1117</v>
      </c>
      <c r="C42" s="22" t="s">
        <v>294</v>
      </c>
      <c r="D42" s="12">
        <v>39521</v>
      </c>
      <c r="E42" s="35"/>
      <c r="F42" s="35"/>
      <c r="G42" s="17"/>
      <c r="H42" s="35" t="s">
        <v>3502</v>
      </c>
      <c r="I42" s="132" t="s">
        <v>3509</v>
      </c>
      <c r="J42" s="8" t="str">
        <f t="shared" si="4"/>
        <v>Nguyễn Phương</v>
      </c>
      <c r="K42" s="8" t="str">
        <f t="shared" si="5"/>
        <v>Linh</v>
      </c>
    </row>
  </sheetData>
  <sortState ref="B7:I38">
    <sortCondition ref="C7:C38"/>
  </sortState>
  <mergeCells count="8">
    <mergeCell ref="B6:C6"/>
    <mergeCell ref="A1:D1"/>
    <mergeCell ref="E1:H1"/>
    <mergeCell ref="A2:D2"/>
    <mergeCell ref="E2:H2"/>
    <mergeCell ref="A4:H4"/>
    <mergeCell ref="A5:H5"/>
    <mergeCell ref="E6:F6"/>
  </mergeCells>
  <pageMargins left="0.2" right="0.2" top="0.21" bottom="0.24" header="0.16" footer="0.25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workbookViewId="0">
      <selection activeCell="I14" sqref="I14"/>
    </sheetView>
  </sheetViews>
  <sheetFormatPr defaultRowHeight="15"/>
  <cols>
    <col min="1" max="1" width="5.28515625" style="1" customWidth="1"/>
    <col min="2" max="2" width="19" style="1" customWidth="1"/>
    <col min="3" max="3" width="8.28515625" style="1" customWidth="1"/>
    <col min="4" max="4" width="9.85546875" style="1" customWidth="1"/>
    <col min="5" max="5" width="16.85546875" style="1" customWidth="1"/>
    <col min="6" max="7" width="14.28515625" style="1" customWidth="1"/>
    <col min="8" max="9" width="18.85546875" style="156" customWidth="1"/>
    <col min="10" max="10" width="20" style="1" customWidth="1"/>
    <col min="11" max="16384" width="9.140625" style="1"/>
  </cols>
  <sheetData>
    <row r="1" spans="1:9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  <c r="I1" s="183"/>
    </row>
    <row r="2" spans="1:9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  <c r="I2" s="183"/>
    </row>
    <row r="3" spans="1:9" ht="15.75" customHeight="1">
      <c r="A3" s="2"/>
      <c r="B3" s="3"/>
      <c r="C3" s="3"/>
      <c r="D3" s="3"/>
    </row>
    <row r="4" spans="1:9" ht="15.75" customHeight="1">
      <c r="A4" s="308" t="s">
        <v>10</v>
      </c>
      <c r="B4" s="308"/>
      <c r="C4" s="308"/>
      <c r="D4" s="308"/>
      <c r="E4" s="308"/>
      <c r="F4" s="308"/>
      <c r="G4" s="308"/>
      <c r="H4" s="308"/>
      <c r="I4" s="184"/>
    </row>
    <row r="5" spans="1:9" s="4" customFormat="1" ht="23.25" customHeight="1">
      <c r="A5" s="314" t="s">
        <v>459</v>
      </c>
      <c r="B5" s="314"/>
      <c r="C5" s="314"/>
      <c r="D5" s="314"/>
      <c r="E5" s="314"/>
      <c r="F5" s="314"/>
      <c r="G5" s="314"/>
      <c r="H5" s="314"/>
      <c r="I5" s="186"/>
    </row>
    <row r="6" spans="1:9" s="8" customFormat="1" ht="45.75" customHeight="1">
      <c r="A6" s="5" t="s">
        <v>4</v>
      </c>
      <c r="B6" s="302" t="s">
        <v>5</v>
      </c>
      <c r="C6" s="303"/>
      <c r="D6" s="6" t="s">
        <v>6</v>
      </c>
      <c r="E6" s="304" t="s">
        <v>11</v>
      </c>
      <c r="F6" s="305"/>
      <c r="G6" s="20" t="s">
        <v>226</v>
      </c>
      <c r="H6" s="5" t="s">
        <v>7</v>
      </c>
      <c r="I6" s="5" t="s">
        <v>2973</v>
      </c>
    </row>
    <row r="7" spans="1:9" s="8" customFormat="1" ht="19.5" customHeight="1">
      <c r="A7" s="9">
        <f>ROW()-6</f>
        <v>1</v>
      </c>
      <c r="B7" s="21" t="s">
        <v>467</v>
      </c>
      <c r="C7" s="22" t="s">
        <v>94</v>
      </c>
      <c r="D7" s="12">
        <v>38579</v>
      </c>
      <c r="E7" s="35" t="s">
        <v>592</v>
      </c>
      <c r="F7" s="35" t="s">
        <v>541</v>
      </c>
      <c r="G7" s="17" t="s">
        <v>789</v>
      </c>
      <c r="H7" s="35" t="s">
        <v>578</v>
      </c>
      <c r="I7" s="35" t="s">
        <v>2204</v>
      </c>
    </row>
    <row r="8" spans="1:9" s="8" customFormat="1" ht="19.5" customHeight="1">
      <c r="A8" s="9">
        <f t="shared" ref="A8:A39" si="0">ROW()-6</f>
        <v>2</v>
      </c>
      <c r="B8" s="21" t="s">
        <v>209</v>
      </c>
      <c r="C8" s="22" t="s">
        <v>70</v>
      </c>
      <c r="D8" s="12">
        <v>39775</v>
      </c>
      <c r="E8" s="35" t="s">
        <v>781</v>
      </c>
      <c r="F8" s="35" t="s">
        <v>556</v>
      </c>
      <c r="G8" s="17" t="s">
        <v>790</v>
      </c>
      <c r="H8" s="35"/>
      <c r="I8" s="35" t="s">
        <v>2204</v>
      </c>
    </row>
    <row r="9" spans="1:9" s="8" customFormat="1" ht="19.5" customHeight="1">
      <c r="A9" s="9">
        <f t="shared" si="0"/>
        <v>3</v>
      </c>
      <c r="B9" s="21" t="s">
        <v>1350</v>
      </c>
      <c r="C9" s="22" t="s">
        <v>535</v>
      </c>
      <c r="D9" s="12" t="s">
        <v>1353</v>
      </c>
      <c r="E9" s="35" t="s">
        <v>945</v>
      </c>
      <c r="F9" s="35" t="s">
        <v>541</v>
      </c>
      <c r="G9" s="17" t="s">
        <v>1497</v>
      </c>
      <c r="H9" s="35"/>
      <c r="I9" s="35" t="s">
        <v>2905</v>
      </c>
    </row>
    <row r="10" spans="1:9" s="8" customFormat="1" ht="19.5" customHeight="1">
      <c r="A10" s="9">
        <f t="shared" si="0"/>
        <v>4</v>
      </c>
      <c r="B10" s="21" t="s">
        <v>1886</v>
      </c>
      <c r="C10" s="22" t="s">
        <v>1887</v>
      </c>
      <c r="D10" s="12">
        <v>39738</v>
      </c>
      <c r="E10" s="35" t="s">
        <v>560</v>
      </c>
      <c r="F10" s="35" t="s">
        <v>541</v>
      </c>
      <c r="G10" s="17" t="s">
        <v>2745</v>
      </c>
      <c r="H10" s="35" t="s">
        <v>1862</v>
      </c>
      <c r="I10" s="35" t="s">
        <v>2905</v>
      </c>
    </row>
    <row r="11" spans="1:9" s="8" customFormat="1" ht="19.5" customHeight="1">
      <c r="A11" s="9">
        <f t="shared" si="0"/>
        <v>5</v>
      </c>
      <c r="B11" s="21" t="s">
        <v>1774</v>
      </c>
      <c r="C11" s="22" t="s">
        <v>185</v>
      </c>
      <c r="D11" s="12" t="s">
        <v>1775</v>
      </c>
      <c r="E11" s="35" t="s">
        <v>590</v>
      </c>
      <c r="F11" s="35" t="s">
        <v>541</v>
      </c>
      <c r="G11" s="17" t="s">
        <v>2746</v>
      </c>
      <c r="H11" s="35" t="s">
        <v>1767</v>
      </c>
      <c r="I11" s="36" t="s">
        <v>2847</v>
      </c>
    </row>
    <row r="12" spans="1:9" s="8" customFormat="1" ht="19.5" customHeight="1">
      <c r="A12" s="9">
        <f t="shared" si="0"/>
        <v>6</v>
      </c>
      <c r="B12" s="21" t="s">
        <v>95</v>
      </c>
      <c r="C12" s="22" t="s">
        <v>25</v>
      </c>
      <c r="D12" s="12">
        <v>39448</v>
      </c>
      <c r="E12" s="35" t="s">
        <v>782</v>
      </c>
      <c r="F12" s="35" t="s">
        <v>556</v>
      </c>
      <c r="G12" s="17" t="s">
        <v>791</v>
      </c>
      <c r="H12" s="35"/>
      <c r="I12" s="35" t="s">
        <v>2204</v>
      </c>
    </row>
    <row r="13" spans="1:9" s="8" customFormat="1" ht="19.5" customHeight="1">
      <c r="A13" s="9">
        <f t="shared" si="0"/>
        <v>7</v>
      </c>
      <c r="B13" s="21" t="s">
        <v>468</v>
      </c>
      <c r="C13" s="22" t="s">
        <v>447</v>
      </c>
      <c r="D13" s="12">
        <v>39658</v>
      </c>
      <c r="E13" s="35" t="s">
        <v>665</v>
      </c>
      <c r="F13" s="35" t="s">
        <v>541</v>
      </c>
      <c r="G13" s="17" t="s">
        <v>792</v>
      </c>
      <c r="H13" s="35"/>
      <c r="I13" s="35" t="s">
        <v>2905</v>
      </c>
    </row>
    <row r="14" spans="1:9" s="8" customFormat="1" ht="19.5" customHeight="1">
      <c r="A14" s="9">
        <f t="shared" si="0"/>
        <v>8</v>
      </c>
      <c r="B14" s="21" t="s">
        <v>463</v>
      </c>
      <c r="C14" s="22" t="s">
        <v>464</v>
      </c>
      <c r="D14" s="12">
        <v>39566</v>
      </c>
      <c r="E14" s="35" t="s">
        <v>783</v>
      </c>
      <c r="F14" s="35" t="s">
        <v>541</v>
      </c>
      <c r="G14" s="17" t="s">
        <v>793</v>
      </c>
      <c r="H14" s="35"/>
      <c r="I14" s="35">
        <v>0</v>
      </c>
    </row>
    <row r="15" spans="1:9" s="8" customFormat="1" ht="19.5" customHeight="1">
      <c r="A15" s="9">
        <f t="shared" si="0"/>
        <v>9</v>
      </c>
      <c r="B15" s="21" t="s">
        <v>462</v>
      </c>
      <c r="C15" s="22" t="s">
        <v>300</v>
      </c>
      <c r="D15" s="12">
        <v>39631</v>
      </c>
      <c r="E15" s="35" t="s">
        <v>1490</v>
      </c>
      <c r="F15" s="35" t="s">
        <v>573</v>
      </c>
      <c r="G15" s="17" t="s">
        <v>1491</v>
      </c>
      <c r="H15" s="35"/>
      <c r="I15" s="35" t="s">
        <v>2905</v>
      </c>
    </row>
    <row r="16" spans="1:9" s="8" customFormat="1" ht="19.5" customHeight="1">
      <c r="A16" s="9">
        <f t="shared" si="0"/>
        <v>10</v>
      </c>
      <c r="B16" s="21" t="s">
        <v>461</v>
      </c>
      <c r="C16" s="22" t="s">
        <v>145</v>
      </c>
      <c r="D16" s="12">
        <v>36313</v>
      </c>
      <c r="E16" s="35" t="s">
        <v>784</v>
      </c>
      <c r="F16" s="35" t="s">
        <v>785</v>
      </c>
      <c r="G16" s="17" t="s">
        <v>794</v>
      </c>
      <c r="H16" s="35"/>
      <c r="I16" s="35" t="s">
        <v>2204</v>
      </c>
    </row>
    <row r="17" spans="1:11" s="8" customFormat="1" ht="19.5" customHeight="1">
      <c r="A17" s="9">
        <f t="shared" si="0"/>
        <v>11</v>
      </c>
      <c r="B17" s="21" t="s">
        <v>2021</v>
      </c>
      <c r="C17" s="22" t="s">
        <v>2134</v>
      </c>
      <c r="D17" s="12" t="s">
        <v>2133</v>
      </c>
      <c r="E17" s="35" t="s">
        <v>725</v>
      </c>
      <c r="F17" s="35" t="s">
        <v>541</v>
      </c>
      <c r="G17" s="17" t="s">
        <v>2747</v>
      </c>
      <c r="H17" s="35" t="s">
        <v>2106</v>
      </c>
      <c r="I17" s="35" t="s">
        <v>2204</v>
      </c>
    </row>
    <row r="18" spans="1:11" s="8" customFormat="1" ht="19.5" customHeight="1">
      <c r="A18" s="9">
        <f t="shared" si="0"/>
        <v>12</v>
      </c>
      <c r="B18" s="21" t="s">
        <v>471</v>
      </c>
      <c r="C18" s="22" t="s">
        <v>472</v>
      </c>
      <c r="D18" s="12">
        <v>34653</v>
      </c>
      <c r="E18" s="35" t="s">
        <v>714</v>
      </c>
      <c r="F18" s="35" t="s">
        <v>541</v>
      </c>
      <c r="G18" s="17" t="s">
        <v>1068</v>
      </c>
      <c r="H18" s="35"/>
      <c r="I18" s="35" t="s">
        <v>2905</v>
      </c>
    </row>
    <row r="19" spans="1:11" s="8" customFormat="1" ht="19.5" customHeight="1">
      <c r="A19" s="9">
        <f t="shared" si="0"/>
        <v>13</v>
      </c>
      <c r="B19" s="21" t="s">
        <v>524</v>
      </c>
      <c r="C19" s="22" t="s">
        <v>161</v>
      </c>
      <c r="D19" s="12">
        <v>38615</v>
      </c>
      <c r="E19" s="35" t="s">
        <v>2997</v>
      </c>
      <c r="F19" s="35" t="s">
        <v>565</v>
      </c>
      <c r="G19" s="17" t="s">
        <v>2748</v>
      </c>
      <c r="H19" s="35" t="s">
        <v>1767</v>
      </c>
      <c r="I19" s="35" t="s">
        <v>2204</v>
      </c>
    </row>
    <row r="20" spans="1:11" s="8" customFormat="1" ht="19.5" customHeight="1">
      <c r="A20" s="9">
        <f t="shared" si="0"/>
        <v>14</v>
      </c>
      <c r="B20" s="21" t="s">
        <v>1154</v>
      </c>
      <c r="C20" s="22" t="s">
        <v>284</v>
      </c>
      <c r="D20" s="12" t="s">
        <v>1153</v>
      </c>
      <c r="E20" s="35" t="s">
        <v>885</v>
      </c>
      <c r="F20" s="35" t="s">
        <v>541</v>
      </c>
      <c r="G20" s="17" t="s">
        <v>1493</v>
      </c>
      <c r="H20" s="35"/>
      <c r="I20" s="35" t="s">
        <v>2905</v>
      </c>
      <c r="J20" s="8" t="str">
        <f>PROPER(B20)</f>
        <v>Nguyễn Thị Kim</v>
      </c>
      <c r="K20" s="8" t="str">
        <f>PROPER(C20)</f>
        <v>Ngân</v>
      </c>
    </row>
    <row r="21" spans="1:11" s="8" customFormat="1" ht="19.5" customHeight="1">
      <c r="A21" s="9">
        <f t="shared" si="0"/>
        <v>15</v>
      </c>
      <c r="B21" s="21" t="s">
        <v>473</v>
      </c>
      <c r="C21" s="22" t="s">
        <v>72</v>
      </c>
      <c r="D21" s="12">
        <v>39558</v>
      </c>
      <c r="E21" s="35" t="s">
        <v>647</v>
      </c>
      <c r="F21" s="35" t="s">
        <v>541</v>
      </c>
      <c r="G21" s="17" t="s">
        <v>795</v>
      </c>
      <c r="H21" s="35"/>
      <c r="I21" s="35" t="s">
        <v>2204</v>
      </c>
      <c r="J21" s="8" t="str">
        <f t="shared" ref="J21:K26" si="1">PROPER(B21)</f>
        <v xml:space="preserve">Phan Minh </v>
      </c>
      <c r="K21" s="8" t="str">
        <f t="shared" si="1"/>
        <v>Nghĩa</v>
      </c>
    </row>
    <row r="22" spans="1:11" s="8" customFormat="1" ht="19.5" customHeight="1">
      <c r="A22" s="9">
        <f t="shared" si="0"/>
        <v>16</v>
      </c>
      <c r="B22" s="21" t="s">
        <v>1250</v>
      </c>
      <c r="C22" s="22" t="s">
        <v>1600</v>
      </c>
      <c r="D22" s="12">
        <v>31817</v>
      </c>
      <c r="E22" s="35" t="s">
        <v>886</v>
      </c>
      <c r="F22" s="35" t="s">
        <v>541</v>
      </c>
      <c r="G22" s="17" t="s">
        <v>2749</v>
      </c>
      <c r="H22" s="35" t="s">
        <v>1602</v>
      </c>
      <c r="I22" s="35" t="s">
        <v>2905</v>
      </c>
      <c r="J22" s="8" t="str">
        <f t="shared" si="1"/>
        <v>Nguyễn Thị Thanh</v>
      </c>
      <c r="K22" s="8" t="str">
        <f t="shared" si="1"/>
        <v>Nhàn</v>
      </c>
    </row>
    <row r="23" spans="1:11" s="8" customFormat="1" ht="19.5" customHeight="1">
      <c r="A23" s="9">
        <f t="shared" si="0"/>
        <v>17</v>
      </c>
      <c r="B23" s="21" t="s">
        <v>460</v>
      </c>
      <c r="C23" s="22" t="s">
        <v>315</v>
      </c>
      <c r="D23" s="12">
        <v>39585</v>
      </c>
      <c r="E23" s="35" t="s">
        <v>786</v>
      </c>
      <c r="F23" s="35" t="s">
        <v>541</v>
      </c>
      <c r="G23" s="17" t="s">
        <v>1492</v>
      </c>
      <c r="H23" s="35"/>
      <c r="I23" s="35" t="s">
        <v>2905</v>
      </c>
      <c r="J23" s="8" t="str">
        <f t="shared" si="1"/>
        <v xml:space="preserve">Trương Nguyễn Yến </v>
      </c>
      <c r="K23" s="8" t="str">
        <f t="shared" si="1"/>
        <v>Nhi</v>
      </c>
    </row>
    <row r="24" spans="1:11" s="8" customFormat="1" ht="19.5" customHeight="1">
      <c r="A24" s="9">
        <f t="shared" si="0"/>
        <v>18</v>
      </c>
      <c r="B24" s="21" t="s">
        <v>309</v>
      </c>
      <c r="C24" s="22" t="s">
        <v>1421</v>
      </c>
      <c r="D24" s="12">
        <v>39667</v>
      </c>
      <c r="E24" s="35" t="s">
        <v>809</v>
      </c>
      <c r="F24" s="35" t="s">
        <v>544</v>
      </c>
      <c r="G24" s="17" t="s">
        <v>1499</v>
      </c>
      <c r="H24" s="35"/>
      <c r="I24" s="35" t="s">
        <v>2905</v>
      </c>
      <c r="J24" s="8" t="str">
        <f t="shared" si="1"/>
        <v xml:space="preserve">Nguyễn Thị Thanh </v>
      </c>
      <c r="K24" s="8" t="str">
        <f t="shared" si="1"/>
        <v>Tâm</v>
      </c>
    </row>
    <row r="25" spans="1:11" s="8" customFormat="1" ht="19.5" customHeight="1">
      <c r="A25" s="9">
        <f t="shared" si="0"/>
        <v>19</v>
      </c>
      <c r="B25" s="21" t="s">
        <v>1352</v>
      </c>
      <c r="C25" s="22" t="s">
        <v>257</v>
      </c>
      <c r="D25" s="12" t="s">
        <v>1355</v>
      </c>
      <c r="E25" s="35" t="s">
        <v>676</v>
      </c>
      <c r="F25" s="35" t="s">
        <v>541</v>
      </c>
      <c r="G25" s="17" t="s">
        <v>1498</v>
      </c>
      <c r="H25" s="35"/>
      <c r="I25" s="35" t="s">
        <v>2905</v>
      </c>
      <c r="J25" s="8" t="str">
        <f t="shared" si="1"/>
        <v>Nguyễn Trần Anh</v>
      </c>
      <c r="K25" s="8" t="str">
        <f t="shared" si="1"/>
        <v>Thư</v>
      </c>
    </row>
    <row r="26" spans="1:11" s="8" customFormat="1" ht="19.5" customHeight="1">
      <c r="A26" s="9">
        <f t="shared" si="0"/>
        <v>20</v>
      </c>
      <c r="B26" s="21" t="s">
        <v>465</v>
      </c>
      <c r="C26" s="22" t="s">
        <v>466</v>
      </c>
      <c r="D26" s="12">
        <v>35646</v>
      </c>
      <c r="E26" s="35" t="s">
        <v>630</v>
      </c>
      <c r="F26" s="35" t="s">
        <v>541</v>
      </c>
      <c r="G26" s="17" t="s">
        <v>796</v>
      </c>
      <c r="H26" s="35"/>
      <c r="I26" s="35" t="s">
        <v>2204</v>
      </c>
      <c r="J26" s="8" t="str">
        <f t="shared" si="1"/>
        <v xml:space="preserve">Trương Gia </v>
      </c>
      <c r="K26" s="8" t="str">
        <f t="shared" si="1"/>
        <v>Thuận</v>
      </c>
    </row>
    <row r="27" spans="1:11" s="8" customFormat="1" ht="19.5" customHeight="1">
      <c r="A27" s="9">
        <f t="shared" si="0"/>
        <v>21</v>
      </c>
      <c r="B27" s="21" t="s">
        <v>474</v>
      </c>
      <c r="C27" s="22" t="s">
        <v>339</v>
      </c>
      <c r="D27" s="12">
        <v>39617</v>
      </c>
      <c r="E27" s="35" t="s">
        <v>788</v>
      </c>
      <c r="F27" s="35" t="s">
        <v>544</v>
      </c>
      <c r="G27" s="17" t="s">
        <v>797</v>
      </c>
      <c r="H27" s="35"/>
      <c r="I27" s="35" t="s">
        <v>2905</v>
      </c>
      <c r="J27" s="8" t="str">
        <f t="shared" ref="J27:J30" si="2">PROPER(B27)</f>
        <v xml:space="preserve">Nguyễn Ngô Sông </v>
      </c>
      <c r="K27" s="8" t="str">
        <f t="shared" ref="K27:K30" si="3">PROPER(C27)</f>
        <v>Thương</v>
      </c>
    </row>
    <row r="28" spans="1:11" s="8" customFormat="1" ht="19.5" customHeight="1">
      <c r="A28" s="9">
        <f t="shared" si="0"/>
        <v>22</v>
      </c>
      <c r="B28" s="21" t="s">
        <v>1456</v>
      </c>
      <c r="C28" s="22" t="s">
        <v>296</v>
      </c>
      <c r="D28" s="12">
        <v>39266</v>
      </c>
      <c r="E28" s="35" t="s">
        <v>2751</v>
      </c>
      <c r="F28" s="35" t="s">
        <v>544</v>
      </c>
      <c r="G28" s="17" t="s">
        <v>2750</v>
      </c>
      <c r="H28" s="35"/>
      <c r="I28" s="35" t="s">
        <v>2905</v>
      </c>
      <c r="J28" s="8" t="str">
        <f t="shared" si="2"/>
        <v>Y</v>
      </c>
      <c r="K28" s="8" t="str">
        <f t="shared" si="3"/>
        <v>Thủy</v>
      </c>
    </row>
    <row r="29" spans="1:11" s="8" customFormat="1" ht="19.5" customHeight="1">
      <c r="A29" s="9">
        <f t="shared" si="0"/>
        <v>23</v>
      </c>
      <c r="B29" s="21" t="s">
        <v>451</v>
      </c>
      <c r="C29" s="22" t="s">
        <v>452</v>
      </c>
      <c r="D29" s="12">
        <v>39449</v>
      </c>
      <c r="E29" s="35" t="s">
        <v>590</v>
      </c>
      <c r="F29" s="35" t="s">
        <v>541</v>
      </c>
      <c r="G29" s="17" t="s">
        <v>773</v>
      </c>
      <c r="H29" s="50" t="s">
        <v>2376</v>
      </c>
      <c r="I29" s="50" t="s">
        <v>2905</v>
      </c>
      <c r="J29" s="8" t="str">
        <f t="shared" si="2"/>
        <v xml:space="preserve">Nguyễn Lưu Nhật </v>
      </c>
      <c r="K29" s="8" t="str">
        <f t="shared" si="3"/>
        <v>Tiên</v>
      </c>
    </row>
    <row r="30" spans="1:11" s="8" customFormat="1" ht="19.5" customHeight="1">
      <c r="A30" s="9">
        <f t="shared" si="0"/>
        <v>24</v>
      </c>
      <c r="B30" s="21" t="s">
        <v>87</v>
      </c>
      <c r="C30" s="22" t="s">
        <v>224</v>
      </c>
      <c r="D30" s="12">
        <v>39630</v>
      </c>
      <c r="E30" s="35" t="s">
        <v>787</v>
      </c>
      <c r="F30" s="35" t="s">
        <v>541</v>
      </c>
      <c r="G30" s="17" t="s">
        <v>798</v>
      </c>
      <c r="H30" s="35" t="s">
        <v>567</v>
      </c>
      <c r="I30" s="35" t="s">
        <v>2204</v>
      </c>
      <c r="J30" s="8" t="str">
        <f t="shared" si="2"/>
        <v xml:space="preserve">Nguyễn Ngọc </v>
      </c>
      <c r="K30" s="8" t="str">
        <f t="shared" si="3"/>
        <v>Trí</v>
      </c>
    </row>
    <row r="31" spans="1:11" s="8" customFormat="1" ht="19.5" customHeight="1">
      <c r="A31" s="9">
        <f t="shared" si="0"/>
        <v>25</v>
      </c>
      <c r="B31" s="21" t="s">
        <v>469</v>
      </c>
      <c r="C31" s="22" t="s">
        <v>470</v>
      </c>
      <c r="D31" s="12">
        <v>38095</v>
      </c>
      <c r="E31" s="35" t="s">
        <v>630</v>
      </c>
      <c r="F31" s="35" t="s">
        <v>541</v>
      </c>
      <c r="G31" s="17" t="s">
        <v>799</v>
      </c>
      <c r="H31" s="35"/>
      <c r="I31" s="36" t="s">
        <v>2398</v>
      </c>
      <c r="J31" s="8" t="str">
        <f t="shared" ref="J31:J39" si="4">PROPER(B31)</f>
        <v xml:space="preserve">Mai Thị Hồng </v>
      </c>
      <c r="K31" s="8" t="str">
        <f t="shared" ref="K31:K39" si="5">PROPER(C31)</f>
        <v>Vân</v>
      </c>
    </row>
    <row r="32" spans="1:11" s="8" customFormat="1" ht="19.5" customHeight="1">
      <c r="A32" s="9">
        <f t="shared" si="0"/>
        <v>26</v>
      </c>
      <c r="B32" s="21" t="s">
        <v>1351</v>
      </c>
      <c r="C32" s="22" t="s">
        <v>21</v>
      </c>
      <c r="D32" s="12" t="s">
        <v>1354</v>
      </c>
      <c r="E32" s="35" t="s">
        <v>2994</v>
      </c>
      <c r="F32" s="35" t="s">
        <v>541</v>
      </c>
      <c r="G32" s="17" t="s">
        <v>2995</v>
      </c>
      <c r="H32" s="35"/>
      <c r="I32" s="35" t="s">
        <v>2204</v>
      </c>
      <c r="J32" s="8" t="e">
        <f>PROPER(#REF!)</f>
        <v>#REF!</v>
      </c>
      <c r="K32" s="8" t="e">
        <f>PROPER(#REF!)</f>
        <v>#REF!</v>
      </c>
    </row>
    <row r="33" spans="1:11" s="8" customFormat="1" ht="19.5" customHeight="1">
      <c r="A33" s="9">
        <f t="shared" si="0"/>
        <v>27</v>
      </c>
      <c r="B33" s="21" t="s">
        <v>2551</v>
      </c>
      <c r="C33" s="22" t="s">
        <v>2552</v>
      </c>
      <c r="D33" s="12" t="s">
        <v>2553</v>
      </c>
      <c r="E33" s="35" t="s">
        <v>885</v>
      </c>
      <c r="F33" s="35" t="s">
        <v>541</v>
      </c>
      <c r="G33" s="17" t="s">
        <v>3141</v>
      </c>
      <c r="H33" s="35" t="s">
        <v>2531</v>
      </c>
      <c r="I33" s="35" t="s">
        <v>2204</v>
      </c>
      <c r="J33" s="8" t="str">
        <f t="shared" si="4"/>
        <v>Nguyễn Lê Gia</v>
      </c>
      <c r="K33" s="8" t="str">
        <f t="shared" si="5"/>
        <v>Hào</v>
      </c>
    </row>
    <row r="34" spans="1:11" s="8" customFormat="1" ht="19.5" customHeight="1">
      <c r="A34" s="9">
        <f t="shared" si="0"/>
        <v>28</v>
      </c>
      <c r="B34" s="21" t="s">
        <v>1485</v>
      </c>
      <c r="C34" s="22" t="s">
        <v>294</v>
      </c>
      <c r="D34" s="12">
        <v>39646</v>
      </c>
      <c r="E34" s="35" t="s">
        <v>787</v>
      </c>
      <c r="F34" s="35" t="s">
        <v>541</v>
      </c>
      <c r="G34" s="17" t="s">
        <v>2785</v>
      </c>
      <c r="H34" s="180" t="s">
        <v>2786</v>
      </c>
      <c r="I34" s="132" t="s">
        <v>2204</v>
      </c>
      <c r="J34" s="192" t="s">
        <v>2204</v>
      </c>
      <c r="K34" s="8" t="e">
        <f>PROPER(#REF!)</f>
        <v>#REF!</v>
      </c>
    </row>
    <row r="35" spans="1:11" s="8" customFormat="1" ht="19.5" customHeight="1">
      <c r="A35" s="9">
        <f t="shared" si="0"/>
        <v>29</v>
      </c>
      <c r="B35" s="21" t="s">
        <v>2949</v>
      </c>
      <c r="C35" s="22" t="s">
        <v>180</v>
      </c>
      <c r="D35" s="12" t="s">
        <v>2950</v>
      </c>
      <c r="E35" s="35"/>
      <c r="F35" s="35"/>
      <c r="G35" s="17" t="s">
        <v>3228</v>
      </c>
      <c r="H35" s="35" t="s">
        <v>2841</v>
      </c>
      <c r="I35" s="36" t="s">
        <v>2847</v>
      </c>
      <c r="J35" s="8" t="str">
        <f t="shared" si="4"/>
        <v>Nguyễn Nam</v>
      </c>
      <c r="K35" s="8" t="str">
        <f t="shared" si="5"/>
        <v>Chiến</v>
      </c>
    </row>
    <row r="36" spans="1:11" s="8" customFormat="1" ht="19.5" customHeight="1">
      <c r="A36" s="9">
        <f t="shared" si="0"/>
        <v>30</v>
      </c>
      <c r="B36" s="21" t="s">
        <v>438</v>
      </c>
      <c r="C36" s="22" t="s">
        <v>284</v>
      </c>
      <c r="D36" s="12">
        <v>37715</v>
      </c>
      <c r="E36" s="12" t="s">
        <v>787</v>
      </c>
      <c r="F36" s="35" t="s">
        <v>541</v>
      </c>
      <c r="G36" s="17" t="s">
        <v>2691</v>
      </c>
      <c r="H36" s="33" t="s">
        <v>2952</v>
      </c>
      <c r="I36" s="35" t="s">
        <v>2204</v>
      </c>
      <c r="J36" s="8" t="e">
        <f>PROPER(#REF!)</f>
        <v>#REF!</v>
      </c>
      <c r="K36" s="8" t="e">
        <f>PROPER(#REF!)</f>
        <v>#REF!</v>
      </c>
    </row>
    <row r="37" spans="1:11" s="8" customFormat="1" ht="19.5" customHeight="1">
      <c r="A37" s="9">
        <f t="shared" si="0"/>
        <v>31</v>
      </c>
      <c r="B37" s="21" t="s">
        <v>2379</v>
      </c>
      <c r="C37" s="22" t="s">
        <v>55</v>
      </c>
      <c r="D37" s="12" t="s">
        <v>3033</v>
      </c>
      <c r="E37" s="12" t="s">
        <v>2517</v>
      </c>
      <c r="F37" s="35" t="s">
        <v>631</v>
      </c>
      <c r="G37" s="17" t="s">
        <v>3096</v>
      </c>
      <c r="H37" s="13" t="s">
        <v>3029</v>
      </c>
      <c r="I37" s="35" t="s">
        <v>2204</v>
      </c>
      <c r="J37" s="8" t="str">
        <f t="shared" si="4"/>
        <v>Trần Thái</v>
      </c>
      <c r="K37" s="8" t="str">
        <f t="shared" si="5"/>
        <v>Bảo</v>
      </c>
    </row>
    <row r="38" spans="1:11" s="8" customFormat="1" ht="19.5" customHeight="1">
      <c r="A38" s="9">
        <f t="shared" si="0"/>
        <v>32</v>
      </c>
      <c r="B38" s="21" t="s">
        <v>3084</v>
      </c>
      <c r="C38" s="22" t="s">
        <v>55</v>
      </c>
      <c r="D38" s="12" t="s">
        <v>1978</v>
      </c>
      <c r="E38" s="12" t="s">
        <v>2403</v>
      </c>
      <c r="F38" s="35" t="s">
        <v>573</v>
      </c>
      <c r="G38" s="17" t="s">
        <v>3165</v>
      </c>
      <c r="H38" s="13" t="s">
        <v>3070</v>
      </c>
      <c r="I38" s="35" t="s">
        <v>2204</v>
      </c>
      <c r="J38" s="8" t="str">
        <f t="shared" si="4"/>
        <v>Trương Đình Quốc</v>
      </c>
      <c r="K38" s="8" t="str">
        <f t="shared" si="5"/>
        <v>Bảo</v>
      </c>
    </row>
    <row r="39" spans="1:11" s="8" customFormat="1" ht="19.5" customHeight="1">
      <c r="A39" s="9">
        <f t="shared" si="0"/>
        <v>33</v>
      </c>
      <c r="B39" s="21" t="s">
        <v>3135</v>
      </c>
      <c r="C39" s="22" t="s">
        <v>66</v>
      </c>
      <c r="D39" s="12" t="s">
        <v>3136</v>
      </c>
      <c r="E39" s="12" t="s">
        <v>885</v>
      </c>
      <c r="F39" s="35" t="s">
        <v>541</v>
      </c>
      <c r="G39" s="17" t="s">
        <v>3145</v>
      </c>
      <c r="H39" s="13" t="s">
        <v>3134</v>
      </c>
      <c r="I39" s="62" t="s">
        <v>2428</v>
      </c>
      <c r="J39" s="8" t="str">
        <f t="shared" si="4"/>
        <v xml:space="preserve">Lê Doãn </v>
      </c>
      <c r="K39" s="8" t="str">
        <f t="shared" si="5"/>
        <v>Đức</v>
      </c>
    </row>
    <row r="40" spans="1:11" s="8" customFormat="1" ht="19.5" customHeight="1">
      <c r="A40" s="9"/>
      <c r="B40" s="21"/>
      <c r="C40" s="22"/>
      <c r="D40" s="12"/>
      <c r="E40" s="12"/>
      <c r="F40" s="35"/>
      <c r="G40" s="17"/>
      <c r="H40" s="13"/>
      <c r="I40" s="62"/>
    </row>
    <row r="41" spans="1:11" s="8" customFormat="1" ht="19.5" customHeight="1">
      <c r="A41" s="9"/>
      <c r="B41" s="21"/>
      <c r="C41" s="22"/>
      <c r="D41" s="12"/>
      <c r="E41" s="12"/>
      <c r="F41" s="35"/>
      <c r="G41" s="17"/>
      <c r="H41" s="13"/>
      <c r="I41" s="62"/>
    </row>
    <row r="42" spans="1:11" s="8" customFormat="1" ht="19.5" customHeight="1">
      <c r="A42" s="9"/>
      <c r="B42" s="21"/>
      <c r="C42" s="22"/>
      <c r="D42" s="12"/>
      <c r="E42" s="12"/>
      <c r="F42" s="35"/>
      <c r="G42" s="17"/>
      <c r="H42" s="13"/>
      <c r="I42" s="62"/>
    </row>
    <row r="43" spans="1:11" s="8" customFormat="1" ht="19.5" customHeight="1">
      <c r="A43" s="9"/>
      <c r="B43" s="21"/>
      <c r="C43" s="22"/>
      <c r="D43" s="12"/>
      <c r="E43" s="12"/>
      <c r="F43" s="35"/>
      <c r="G43" s="17"/>
      <c r="H43" s="13"/>
      <c r="I43" s="62"/>
    </row>
    <row r="44" spans="1:11" s="8" customFormat="1" ht="19.5" customHeight="1">
      <c r="A44" s="9"/>
      <c r="B44" s="21"/>
      <c r="C44" s="22"/>
      <c r="D44" s="12"/>
      <c r="E44" s="12"/>
      <c r="F44" s="35"/>
      <c r="G44" s="17"/>
      <c r="H44" s="13"/>
      <c r="I44" s="62"/>
    </row>
  </sheetData>
  <sortState ref="B7:H32">
    <sortCondition ref="C7:C32"/>
  </sortState>
  <mergeCells count="8">
    <mergeCell ref="B6:C6"/>
    <mergeCell ref="A1:D1"/>
    <mergeCell ref="E1:H1"/>
    <mergeCell ref="A2:D2"/>
    <mergeCell ref="E2:H2"/>
    <mergeCell ref="A4:H4"/>
    <mergeCell ref="A5:H5"/>
    <mergeCell ref="E6:F6"/>
  </mergeCells>
  <pageMargins left="0.2" right="0.2" top="0.38" bottom="0.2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B28" sqref="B28:D28"/>
    </sheetView>
  </sheetViews>
  <sheetFormatPr defaultRowHeight="15"/>
  <cols>
    <col min="1" max="1" width="5.28515625" style="1" customWidth="1"/>
    <col min="2" max="2" width="18.140625" style="1" customWidth="1"/>
    <col min="3" max="3" width="8.28515625" style="1" customWidth="1"/>
    <col min="4" max="4" width="11.42578125" style="1" customWidth="1"/>
    <col min="5" max="6" width="18.140625" style="1" customWidth="1"/>
    <col min="7" max="7" width="17" style="1" bestFit="1" customWidth="1"/>
    <col min="8" max="8" width="27.140625" style="1" customWidth="1"/>
    <col min="9" max="9" width="32.5703125" style="156" customWidth="1"/>
    <col min="10" max="16384" width="9.140625" style="1"/>
  </cols>
  <sheetData>
    <row r="1" spans="1:11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  <c r="I1" s="166"/>
    </row>
    <row r="2" spans="1:11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  <c r="I2" s="166"/>
    </row>
    <row r="3" spans="1:11" ht="15.75" customHeight="1">
      <c r="A3" s="2"/>
      <c r="B3" s="3"/>
      <c r="C3" s="3"/>
      <c r="D3" s="3"/>
    </row>
    <row r="4" spans="1:11" ht="15.75" customHeight="1">
      <c r="A4" s="308" t="s">
        <v>10</v>
      </c>
      <c r="B4" s="308"/>
      <c r="C4" s="308"/>
      <c r="D4" s="308"/>
      <c r="E4" s="308"/>
      <c r="F4" s="308"/>
      <c r="G4" s="308"/>
      <c r="H4" s="308"/>
      <c r="I4" s="167"/>
    </row>
    <row r="5" spans="1:11" s="4" customFormat="1" ht="23.25" customHeight="1">
      <c r="A5" s="309" t="s">
        <v>491</v>
      </c>
      <c r="B5" s="309"/>
      <c r="C5" s="309"/>
      <c r="D5" s="309"/>
      <c r="E5" s="309"/>
      <c r="F5" s="309"/>
      <c r="G5" s="309"/>
      <c r="H5" s="309"/>
      <c r="I5" s="168"/>
    </row>
    <row r="6" spans="1:11" s="8" customFormat="1" ht="45.75" customHeight="1">
      <c r="A6" s="5" t="s">
        <v>4</v>
      </c>
      <c r="B6" s="302" t="s">
        <v>5</v>
      </c>
      <c r="C6" s="303"/>
      <c r="D6" s="6" t="s">
        <v>6</v>
      </c>
      <c r="E6" s="304" t="s">
        <v>11</v>
      </c>
      <c r="F6" s="305"/>
      <c r="G6" s="20" t="s">
        <v>226</v>
      </c>
      <c r="H6" s="7" t="s">
        <v>7</v>
      </c>
      <c r="I6" s="5" t="s">
        <v>2329</v>
      </c>
    </row>
    <row r="7" spans="1:11" s="8" customFormat="1" ht="19.5" customHeight="1">
      <c r="A7" s="9">
        <f>ROW()-6</f>
        <v>1</v>
      </c>
      <c r="B7" s="21" t="s">
        <v>131</v>
      </c>
      <c r="C7" s="22" t="s">
        <v>535</v>
      </c>
      <c r="D7" s="34">
        <v>39210</v>
      </c>
      <c r="E7" s="35" t="s">
        <v>703</v>
      </c>
      <c r="F7" s="35" t="s">
        <v>541</v>
      </c>
      <c r="G7" s="17" t="s">
        <v>704</v>
      </c>
      <c r="H7" s="13"/>
      <c r="I7" s="35" t="s">
        <v>2204</v>
      </c>
    </row>
    <row r="8" spans="1:11" s="8" customFormat="1" ht="19.5" customHeight="1">
      <c r="A8" s="9">
        <f t="shared" ref="A8:A27" si="0">ROW()-6</f>
        <v>2</v>
      </c>
      <c r="B8" s="21" t="s">
        <v>515</v>
      </c>
      <c r="C8" s="22" t="s">
        <v>180</v>
      </c>
      <c r="D8" s="34" t="s">
        <v>1849</v>
      </c>
      <c r="E8" s="35"/>
      <c r="F8" s="35"/>
      <c r="G8" s="17" t="s">
        <v>3229</v>
      </c>
      <c r="H8" s="13" t="s">
        <v>1833</v>
      </c>
      <c r="I8" s="35" t="s">
        <v>2204</v>
      </c>
    </row>
    <row r="9" spans="1:11" s="8" customFormat="1" ht="19.5" customHeight="1">
      <c r="A9" s="9">
        <f t="shared" si="0"/>
        <v>3</v>
      </c>
      <c r="B9" s="21" t="s">
        <v>1413</v>
      </c>
      <c r="C9" s="22" t="s">
        <v>66</v>
      </c>
      <c r="D9" s="34">
        <v>39613</v>
      </c>
      <c r="E9" s="35"/>
      <c r="F9" s="35"/>
      <c r="G9" s="17" t="s">
        <v>3230</v>
      </c>
      <c r="H9" s="13"/>
      <c r="I9" s="35" t="s">
        <v>2204</v>
      </c>
    </row>
    <row r="10" spans="1:11" s="8" customFormat="1" ht="19.5" customHeight="1">
      <c r="A10" s="9">
        <f t="shared" si="0"/>
        <v>4</v>
      </c>
      <c r="B10" s="21" t="s">
        <v>488</v>
      </c>
      <c r="C10" s="22" t="s">
        <v>489</v>
      </c>
      <c r="D10" s="34">
        <v>39764</v>
      </c>
      <c r="E10" s="35" t="s">
        <v>705</v>
      </c>
      <c r="F10" s="35" t="s">
        <v>541</v>
      </c>
      <c r="G10" s="17" t="s">
        <v>706</v>
      </c>
      <c r="H10" s="13"/>
      <c r="I10" s="35" t="s">
        <v>2905</v>
      </c>
    </row>
    <row r="11" spans="1:11" s="8" customFormat="1" ht="19.5" customHeight="1">
      <c r="A11" s="9">
        <f t="shared" si="0"/>
        <v>5</v>
      </c>
      <c r="B11" s="21" t="s">
        <v>39</v>
      </c>
      <c r="C11" s="22" t="s">
        <v>137</v>
      </c>
      <c r="D11" s="34" t="s">
        <v>1954</v>
      </c>
      <c r="E11" s="35"/>
      <c r="F11" s="35"/>
      <c r="G11" s="17" t="s">
        <v>3231</v>
      </c>
      <c r="H11" s="13" t="s">
        <v>1955</v>
      </c>
      <c r="I11" s="35" t="s">
        <v>2331</v>
      </c>
    </row>
    <row r="12" spans="1:11" s="8" customFormat="1" ht="19.5" customHeight="1">
      <c r="A12" s="9">
        <f t="shared" si="0"/>
        <v>6</v>
      </c>
      <c r="B12" s="21" t="s">
        <v>1952</v>
      </c>
      <c r="C12" s="22" t="s">
        <v>333</v>
      </c>
      <c r="D12" s="34" t="s">
        <v>1953</v>
      </c>
      <c r="E12" s="35"/>
      <c r="F12" s="35"/>
      <c r="G12" s="17" t="s">
        <v>3232</v>
      </c>
      <c r="H12" s="13" t="s">
        <v>1955</v>
      </c>
      <c r="I12" s="35" t="s">
        <v>2208</v>
      </c>
    </row>
    <row r="13" spans="1:11" s="8" customFormat="1" ht="19.5" customHeight="1">
      <c r="A13" s="9">
        <f t="shared" si="0"/>
        <v>7</v>
      </c>
      <c r="B13" s="21" t="s">
        <v>1730</v>
      </c>
      <c r="C13" s="22" t="s">
        <v>510</v>
      </c>
      <c r="D13" s="34">
        <v>39774</v>
      </c>
      <c r="E13" s="35"/>
      <c r="F13" s="35"/>
      <c r="G13" s="17" t="s">
        <v>2035</v>
      </c>
      <c r="H13" s="13" t="s">
        <v>2036</v>
      </c>
      <c r="I13" s="35" t="s">
        <v>2905</v>
      </c>
      <c r="J13" s="8" t="s">
        <v>2498</v>
      </c>
    </row>
    <row r="14" spans="1:11" s="8" customFormat="1" ht="19.5" customHeight="1">
      <c r="A14" s="9">
        <f t="shared" si="0"/>
        <v>8</v>
      </c>
      <c r="B14" s="21" t="s">
        <v>18</v>
      </c>
      <c r="C14" s="22" t="s">
        <v>128</v>
      </c>
      <c r="D14" s="34">
        <v>39797</v>
      </c>
      <c r="E14" s="35" t="s">
        <v>703</v>
      </c>
      <c r="F14" s="35" t="s">
        <v>541</v>
      </c>
      <c r="G14" s="17" t="s">
        <v>707</v>
      </c>
      <c r="H14" s="13"/>
      <c r="I14" s="35" t="s">
        <v>2204</v>
      </c>
    </row>
    <row r="15" spans="1:11" s="8" customFormat="1" ht="19.5" customHeight="1">
      <c r="A15" s="9">
        <f t="shared" si="0"/>
        <v>9</v>
      </c>
      <c r="B15" s="54" t="s">
        <v>1601</v>
      </c>
      <c r="C15" s="181" t="s">
        <v>128</v>
      </c>
      <c r="D15" s="34">
        <v>39771</v>
      </c>
      <c r="E15" s="35"/>
      <c r="F15" s="35"/>
      <c r="G15" s="17" t="s">
        <v>3236</v>
      </c>
      <c r="H15" s="13" t="s">
        <v>1602</v>
      </c>
      <c r="I15" s="35" t="s">
        <v>2204</v>
      </c>
      <c r="J15" s="8" t="str">
        <f>PROPER(B15)</f>
        <v>Đoàn Công</v>
      </c>
      <c r="K15" s="8" t="str">
        <f>PROPER(C15)</f>
        <v>Huy</v>
      </c>
    </row>
    <row r="16" spans="1:11" s="8" customFormat="1" ht="19.5" customHeight="1">
      <c r="A16" s="9">
        <f t="shared" si="0"/>
        <v>10</v>
      </c>
      <c r="B16" s="21" t="s">
        <v>1921</v>
      </c>
      <c r="C16" s="22" t="s">
        <v>58</v>
      </c>
      <c r="D16" s="34">
        <v>39793</v>
      </c>
      <c r="E16" s="35"/>
      <c r="F16" s="35"/>
      <c r="G16" s="17" t="s">
        <v>3237</v>
      </c>
      <c r="H16" s="13" t="s">
        <v>1912</v>
      </c>
      <c r="I16" s="35" t="s">
        <v>2204</v>
      </c>
      <c r="J16" s="8" t="str">
        <f>PROPER(B16)</f>
        <v>Phạm Đăng</v>
      </c>
      <c r="K16" s="8" t="str">
        <f>PROPER(C16)</f>
        <v>Khang</v>
      </c>
    </row>
    <row r="17" spans="1:11" s="8" customFormat="1" ht="19.5" customHeight="1">
      <c r="A17" s="9">
        <f t="shared" si="0"/>
        <v>11</v>
      </c>
      <c r="B17" s="21" t="s">
        <v>490</v>
      </c>
      <c r="C17" s="22" t="s">
        <v>60</v>
      </c>
      <c r="D17" s="34">
        <v>39163</v>
      </c>
      <c r="E17" s="35" t="s">
        <v>603</v>
      </c>
      <c r="F17" s="35" t="s">
        <v>541</v>
      </c>
      <c r="G17" s="17" t="s">
        <v>708</v>
      </c>
      <c r="H17" s="13"/>
      <c r="I17" s="35" t="s">
        <v>2204</v>
      </c>
      <c r="J17" s="8" t="str">
        <f t="shared" ref="J17:J19" si="1">PROPER(B17)</f>
        <v xml:space="preserve">Đặng Lê Anh </v>
      </c>
      <c r="K17" s="8" t="str">
        <f t="shared" ref="K17:K19" si="2">PROPER(C17)</f>
        <v>Khoa</v>
      </c>
    </row>
    <row r="18" spans="1:11" s="8" customFormat="1" ht="19.5" customHeight="1">
      <c r="A18" s="9">
        <f t="shared" si="0"/>
        <v>12</v>
      </c>
      <c r="B18" s="21" t="s">
        <v>2128</v>
      </c>
      <c r="C18" s="22" t="s">
        <v>60</v>
      </c>
      <c r="D18" s="34" t="s">
        <v>1396</v>
      </c>
      <c r="E18" s="35"/>
      <c r="F18" s="35"/>
      <c r="G18" s="17" t="s">
        <v>3235</v>
      </c>
      <c r="H18" s="13" t="s">
        <v>2106</v>
      </c>
      <c r="I18" s="35" t="s">
        <v>2204</v>
      </c>
      <c r="J18" s="8" t="str">
        <f t="shared" si="1"/>
        <v>Huỳnh Kim Anh</v>
      </c>
      <c r="K18" s="8" t="str">
        <f t="shared" si="2"/>
        <v>Khoa</v>
      </c>
    </row>
    <row r="19" spans="1:11" s="8" customFormat="1" ht="19.5" customHeight="1">
      <c r="A19" s="9">
        <f t="shared" si="0"/>
        <v>13</v>
      </c>
      <c r="B19" s="21" t="s">
        <v>485</v>
      </c>
      <c r="C19" s="22" t="s">
        <v>486</v>
      </c>
      <c r="D19" s="34">
        <v>39604</v>
      </c>
      <c r="E19" s="35" t="s">
        <v>712</v>
      </c>
      <c r="F19" s="35" t="s">
        <v>556</v>
      </c>
      <c r="G19" s="17" t="s">
        <v>709</v>
      </c>
      <c r="H19" s="13"/>
      <c r="I19" s="35" t="s">
        <v>2905</v>
      </c>
      <c r="J19" s="8" t="str">
        <f t="shared" si="1"/>
        <v xml:space="preserve">Ksor H' </v>
      </c>
      <c r="K19" s="8" t="str">
        <f t="shared" si="2"/>
        <v>Ngam</v>
      </c>
    </row>
    <row r="20" spans="1:11" s="8" customFormat="1" ht="19.5" customHeight="1">
      <c r="A20" s="9">
        <f t="shared" si="0"/>
        <v>14</v>
      </c>
      <c r="B20" s="21" t="s">
        <v>2388</v>
      </c>
      <c r="C20" s="22" t="s">
        <v>277</v>
      </c>
      <c r="D20" s="34" t="s">
        <v>1535</v>
      </c>
      <c r="E20" s="35"/>
      <c r="F20" s="35"/>
      <c r="G20" s="17" t="s">
        <v>3238</v>
      </c>
      <c r="H20" s="13" t="s">
        <v>2359</v>
      </c>
      <c r="I20" s="35" t="s">
        <v>2905</v>
      </c>
      <c r="J20" s="8" t="str">
        <f t="shared" ref="J20:J21" si="3">PROPER(B20)</f>
        <v>Nguyễn Quỳnh</v>
      </c>
      <c r="K20" s="8" t="str">
        <f t="shared" ref="K20:K21" si="4">PROPER(C20)</f>
        <v>Như</v>
      </c>
    </row>
    <row r="21" spans="1:11" s="8" customFormat="1" ht="19.5" customHeight="1">
      <c r="A21" s="9">
        <f t="shared" si="0"/>
        <v>15</v>
      </c>
      <c r="B21" s="21" t="s">
        <v>1835</v>
      </c>
      <c r="C21" s="22" t="s">
        <v>298</v>
      </c>
      <c r="D21" s="34">
        <v>39586</v>
      </c>
      <c r="E21" s="35"/>
      <c r="F21" s="35"/>
      <c r="G21" s="17" t="s">
        <v>3239</v>
      </c>
      <c r="H21" s="13" t="s">
        <v>2072</v>
      </c>
      <c r="I21" s="35" t="s">
        <v>2905</v>
      </c>
      <c r="J21" s="8" t="str">
        <f t="shared" si="3"/>
        <v>Nguyễn Thị Kiều</v>
      </c>
      <c r="K21" s="8" t="str">
        <f t="shared" si="4"/>
        <v>Oanh</v>
      </c>
    </row>
    <row r="22" spans="1:11" s="8" customFormat="1" ht="19.5" customHeight="1">
      <c r="A22" s="9">
        <f t="shared" si="0"/>
        <v>16</v>
      </c>
      <c r="B22" s="21" t="s">
        <v>1670</v>
      </c>
      <c r="C22" s="22" t="s">
        <v>98</v>
      </c>
      <c r="D22" s="34" t="s">
        <v>1672</v>
      </c>
      <c r="E22" s="35"/>
      <c r="F22" s="35"/>
      <c r="G22" s="17" t="s">
        <v>3240</v>
      </c>
      <c r="H22" s="13" t="s">
        <v>1668</v>
      </c>
      <c r="I22" s="35" t="s">
        <v>2204</v>
      </c>
      <c r="J22" s="8" t="str">
        <f t="shared" ref="J22:J23" si="5">PROPER(B22)</f>
        <v>Phan Thanh</v>
      </c>
      <c r="K22" s="8" t="str">
        <f t="shared" ref="K22:K23" si="6">PROPER(C22)</f>
        <v>Tài</v>
      </c>
    </row>
    <row r="23" spans="1:11" s="8" customFormat="1" ht="19.5" customHeight="1">
      <c r="A23" s="9">
        <f t="shared" si="0"/>
        <v>17</v>
      </c>
      <c r="B23" s="21" t="s">
        <v>487</v>
      </c>
      <c r="C23" s="22" t="s">
        <v>399</v>
      </c>
      <c r="D23" s="34">
        <v>39711</v>
      </c>
      <c r="E23" s="35" t="s">
        <v>711</v>
      </c>
      <c r="F23" s="35" t="s">
        <v>541</v>
      </c>
      <c r="G23" s="17" t="s">
        <v>710</v>
      </c>
      <c r="H23" s="13"/>
      <c r="I23" s="35" t="s">
        <v>2204</v>
      </c>
      <c r="J23" s="8" t="str">
        <f t="shared" si="5"/>
        <v xml:space="preserve">Trần Công </v>
      </c>
      <c r="K23" s="8" t="str">
        <f t="shared" si="6"/>
        <v>Thắng</v>
      </c>
    </row>
    <row r="24" spans="1:11" s="8" customFormat="1" ht="19.5" customHeight="1">
      <c r="A24" s="9">
        <f t="shared" si="0"/>
        <v>18</v>
      </c>
      <c r="B24" s="21" t="s">
        <v>513</v>
      </c>
      <c r="C24" s="22" t="s">
        <v>257</v>
      </c>
      <c r="D24" s="34" t="s">
        <v>1072</v>
      </c>
      <c r="E24" s="35"/>
      <c r="F24" s="35" t="s">
        <v>541</v>
      </c>
      <c r="G24" s="17" t="s">
        <v>1303</v>
      </c>
      <c r="H24" s="13" t="s">
        <v>2037</v>
      </c>
      <c r="I24" s="35" t="s">
        <v>2905</v>
      </c>
      <c r="J24" s="8" t="str">
        <f t="shared" ref="J24:J27" si="7">PROPER(B24)</f>
        <v>Đoàn Minh</v>
      </c>
      <c r="K24" s="8" t="str">
        <f t="shared" ref="K24:K27" si="8">PROPER(C24)</f>
        <v>Thư</v>
      </c>
    </row>
    <row r="25" spans="1:11" s="8" customFormat="1" ht="19.5" customHeight="1">
      <c r="A25" s="9">
        <f t="shared" si="0"/>
        <v>19</v>
      </c>
      <c r="B25" s="21" t="s">
        <v>1423</v>
      </c>
      <c r="C25" s="22" t="s">
        <v>1484</v>
      </c>
      <c r="D25" s="34">
        <v>39598</v>
      </c>
      <c r="E25" s="35"/>
      <c r="F25" s="35"/>
      <c r="G25" s="17" t="s">
        <v>3241</v>
      </c>
      <c r="H25" s="13"/>
      <c r="I25" s="35" t="s">
        <v>2204</v>
      </c>
      <c r="J25" s="8" t="str">
        <f t="shared" si="7"/>
        <v>Lê Văn</v>
      </c>
      <c r="K25" s="8" t="str">
        <f t="shared" si="8"/>
        <v>Tịnh</v>
      </c>
    </row>
    <row r="26" spans="1:11" s="8" customFormat="1" ht="19.5" customHeight="1">
      <c r="A26" s="9">
        <f t="shared" si="0"/>
        <v>20</v>
      </c>
      <c r="B26" s="21" t="s">
        <v>1848</v>
      </c>
      <c r="C26" s="22" t="s">
        <v>224</v>
      </c>
      <c r="D26" s="34" t="s">
        <v>1850</v>
      </c>
      <c r="E26" s="35"/>
      <c r="F26" s="35"/>
      <c r="G26" s="17" t="s">
        <v>3234</v>
      </c>
      <c r="H26" s="13" t="s">
        <v>1833</v>
      </c>
      <c r="I26" s="35" t="s">
        <v>2292</v>
      </c>
      <c r="J26" s="8" t="str">
        <f t="shared" si="7"/>
        <v>Huỳnh Phương</v>
      </c>
      <c r="K26" s="8" t="str">
        <f t="shared" si="8"/>
        <v>Trí</v>
      </c>
    </row>
    <row r="27" spans="1:11" s="8" customFormat="1" ht="19.5" customHeight="1">
      <c r="A27" s="9">
        <f t="shared" si="0"/>
        <v>21</v>
      </c>
      <c r="B27" s="21" t="s">
        <v>1669</v>
      </c>
      <c r="C27" s="22" t="s">
        <v>111</v>
      </c>
      <c r="D27" s="34" t="s">
        <v>1671</v>
      </c>
      <c r="E27" s="35"/>
      <c r="F27" s="35"/>
      <c r="G27" s="17" t="s">
        <v>3233</v>
      </c>
      <c r="H27" s="13" t="s">
        <v>1668</v>
      </c>
      <c r="I27" s="35" t="s">
        <v>3001</v>
      </c>
      <c r="J27" s="8" t="str">
        <f t="shared" si="7"/>
        <v>Cao Hà Thiên</v>
      </c>
      <c r="K27" s="8" t="str">
        <f t="shared" si="8"/>
        <v>Vũ</v>
      </c>
    </row>
    <row r="28" spans="1:11" s="8" customFormat="1" ht="19.5" customHeight="1">
      <c r="A28" s="9">
        <f t="shared" ref="A28:A38" si="9">ROW()-6</f>
        <v>22</v>
      </c>
      <c r="B28" s="21" t="s">
        <v>2668</v>
      </c>
      <c r="C28" s="22" t="s">
        <v>128</v>
      </c>
      <c r="D28" s="34">
        <v>39414</v>
      </c>
      <c r="E28" s="35"/>
      <c r="F28" s="35"/>
      <c r="G28" s="17" t="s">
        <v>3227</v>
      </c>
      <c r="H28" s="13" t="s">
        <v>2640</v>
      </c>
      <c r="I28" s="35" t="s">
        <v>2207</v>
      </c>
      <c r="J28" s="8" t="str">
        <f t="shared" ref="J28" si="10">PROPER(B28)</f>
        <v>Hà Thúc</v>
      </c>
      <c r="K28" s="8" t="str">
        <f t="shared" ref="K28" si="11">PROPER(C28)</f>
        <v>Huy</v>
      </c>
    </row>
    <row r="29" spans="1:11" s="8" customFormat="1" ht="19.5" customHeight="1">
      <c r="A29" s="9">
        <f t="shared" si="9"/>
        <v>23</v>
      </c>
      <c r="B29" s="21" t="s">
        <v>2762</v>
      </c>
      <c r="C29" s="22" t="s">
        <v>34</v>
      </c>
      <c r="D29" s="34">
        <v>39712</v>
      </c>
      <c r="E29" s="35"/>
      <c r="F29" s="35"/>
      <c r="G29" s="17" t="s">
        <v>3242</v>
      </c>
      <c r="H29" s="13" t="s">
        <v>2759</v>
      </c>
      <c r="I29" s="35" t="s">
        <v>2999</v>
      </c>
      <c r="J29" s="8" t="str">
        <f t="shared" ref="J29:J32" si="12">PROPER(B29)</f>
        <v>Nguyễn Khắc Nhân</v>
      </c>
      <c r="K29" s="8" t="str">
        <f t="shared" ref="K29:K32" si="13">PROPER(C29)</f>
        <v>Kiệt</v>
      </c>
    </row>
    <row r="30" spans="1:11" s="8" customFormat="1" ht="19.5" customHeight="1">
      <c r="A30" s="9">
        <f t="shared" si="9"/>
        <v>24</v>
      </c>
      <c r="B30" s="21" t="s">
        <v>2770</v>
      </c>
      <c r="C30" s="22" t="s">
        <v>259</v>
      </c>
      <c r="D30" s="34">
        <v>39407</v>
      </c>
      <c r="E30" s="35"/>
      <c r="F30" s="35"/>
      <c r="G30" s="17" t="s">
        <v>3243</v>
      </c>
      <c r="H30" s="13" t="s">
        <v>2759</v>
      </c>
      <c r="I30" s="35" t="s">
        <v>2905</v>
      </c>
      <c r="J30" s="8" t="str">
        <f t="shared" si="12"/>
        <v>Cao Thị Huyền</v>
      </c>
      <c r="K30" s="8" t="str">
        <f t="shared" si="13"/>
        <v>Trang</v>
      </c>
    </row>
    <row r="31" spans="1:11" s="8" customFormat="1" ht="19.5" customHeight="1">
      <c r="A31" s="9">
        <f t="shared" si="9"/>
        <v>25</v>
      </c>
      <c r="B31" s="21" t="s">
        <v>2953</v>
      </c>
      <c r="C31" s="22" t="s">
        <v>17</v>
      </c>
      <c r="D31" s="34">
        <v>39554</v>
      </c>
      <c r="E31" s="35"/>
      <c r="F31" s="35"/>
      <c r="G31" s="17" t="s">
        <v>3091</v>
      </c>
      <c r="H31" s="13" t="s">
        <v>2954</v>
      </c>
      <c r="I31" s="35" t="s">
        <v>2204</v>
      </c>
      <c r="J31" s="8" t="str">
        <f t="shared" si="12"/>
        <v>Trịnh Phan Gia</v>
      </c>
      <c r="K31" s="8" t="str">
        <f t="shared" si="13"/>
        <v>Hoàng</v>
      </c>
    </row>
    <row r="32" spans="1:11" s="8" customFormat="1" ht="19.5" customHeight="1">
      <c r="A32" s="9">
        <f t="shared" si="9"/>
        <v>26</v>
      </c>
      <c r="B32" s="21" t="s">
        <v>3028</v>
      </c>
      <c r="C32" s="22" t="s">
        <v>92</v>
      </c>
      <c r="D32" s="34">
        <v>39217</v>
      </c>
      <c r="E32" s="35" t="s">
        <v>711</v>
      </c>
      <c r="F32" s="35" t="s">
        <v>541</v>
      </c>
      <c r="G32" s="17" t="s">
        <v>3127</v>
      </c>
      <c r="H32" s="13" t="s">
        <v>3029</v>
      </c>
      <c r="I32" s="35" t="s">
        <v>2204</v>
      </c>
      <c r="J32" s="8" t="str">
        <f t="shared" si="12"/>
        <v>Trần Bá</v>
      </c>
      <c r="K32" s="8" t="str">
        <f t="shared" si="13"/>
        <v>Nhân</v>
      </c>
    </row>
    <row r="33" spans="1:11" s="8" customFormat="1" ht="19.5" customHeight="1">
      <c r="A33" s="9">
        <f t="shared" si="9"/>
        <v>27</v>
      </c>
      <c r="B33" s="21" t="s">
        <v>3079</v>
      </c>
      <c r="C33" s="22" t="s">
        <v>1112</v>
      </c>
      <c r="D33" s="34" t="s">
        <v>3080</v>
      </c>
      <c r="E33" s="35" t="s">
        <v>1273</v>
      </c>
      <c r="F33" s="35" t="s">
        <v>544</v>
      </c>
      <c r="G33" s="17" t="s">
        <v>3156</v>
      </c>
      <c r="H33" s="13" t="s">
        <v>3070</v>
      </c>
      <c r="I33" s="36" t="s">
        <v>3157</v>
      </c>
      <c r="J33" s="8" t="str">
        <f t="shared" ref="J33:J34" si="14">PROPER(B33)</f>
        <v>Bùi Tấn</v>
      </c>
      <c r="K33" s="8" t="str">
        <f t="shared" ref="K33:K34" si="15">PROPER(C33)</f>
        <v>Dương</v>
      </c>
    </row>
    <row r="34" spans="1:11" s="8" customFormat="1" ht="19.5" customHeight="1">
      <c r="A34" s="9">
        <f t="shared" si="9"/>
        <v>28</v>
      </c>
      <c r="B34" s="21" t="s">
        <v>1544</v>
      </c>
      <c r="C34" s="22" t="s">
        <v>172</v>
      </c>
      <c r="D34" s="34">
        <v>39601</v>
      </c>
      <c r="E34" s="35"/>
      <c r="F34" s="35"/>
      <c r="G34" s="17"/>
      <c r="H34" s="13" t="s">
        <v>3387</v>
      </c>
      <c r="I34" s="35" t="s">
        <v>3406</v>
      </c>
      <c r="J34" s="8" t="str">
        <f t="shared" si="14"/>
        <v>Phạm Minh</v>
      </c>
      <c r="K34" s="8" t="str">
        <f t="shared" si="15"/>
        <v>Phú</v>
      </c>
    </row>
    <row r="35" spans="1:11" s="8" customFormat="1" ht="19.5" customHeight="1">
      <c r="A35" s="9">
        <f t="shared" si="9"/>
        <v>29</v>
      </c>
      <c r="B35" s="21" t="s">
        <v>2667</v>
      </c>
      <c r="C35" s="22" t="s">
        <v>97</v>
      </c>
      <c r="D35" s="34">
        <v>39464</v>
      </c>
      <c r="E35" s="35"/>
      <c r="F35" s="35"/>
      <c r="G35" s="17" t="s">
        <v>3416</v>
      </c>
      <c r="H35" s="33" t="s">
        <v>3421</v>
      </c>
      <c r="I35" s="35" t="s">
        <v>2204</v>
      </c>
    </row>
    <row r="36" spans="1:11" s="8" customFormat="1" ht="19.5" customHeight="1">
      <c r="A36" s="9">
        <f t="shared" si="9"/>
        <v>30</v>
      </c>
      <c r="B36" s="21" t="s">
        <v>3446</v>
      </c>
      <c r="C36" s="22" t="s">
        <v>532</v>
      </c>
      <c r="D36" s="34">
        <v>38373</v>
      </c>
      <c r="E36" s="35"/>
      <c r="F36" s="35"/>
      <c r="G36" s="17"/>
      <c r="H36" s="33" t="s">
        <v>3447</v>
      </c>
      <c r="I36" s="36" t="s">
        <v>3457</v>
      </c>
    </row>
    <row r="37" spans="1:11" s="8" customFormat="1" ht="19.5" customHeight="1">
      <c r="A37" s="9">
        <f t="shared" si="9"/>
        <v>31</v>
      </c>
      <c r="B37" s="21" t="s">
        <v>1150</v>
      </c>
      <c r="C37" s="22" t="s">
        <v>418</v>
      </c>
      <c r="D37" s="34" t="s">
        <v>3450</v>
      </c>
      <c r="E37" s="35"/>
      <c r="F37" s="35"/>
      <c r="G37" s="17"/>
      <c r="H37" s="33" t="s">
        <v>3447</v>
      </c>
      <c r="I37" s="36" t="s">
        <v>3458</v>
      </c>
    </row>
    <row r="38" spans="1:11" s="8" customFormat="1" ht="19.5" customHeight="1">
      <c r="A38" s="9">
        <f t="shared" si="9"/>
        <v>32</v>
      </c>
      <c r="B38" s="21" t="s">
        <v>1126</v>
      </c>
      <c r="C38" s="22" t="s">
        <v>118</v>
      </c>
      <c r="D38" s="34">
        <v>39749</v>
      </c>
      <c r="E38" s="35"/>
      <c r="F38" s="35"/>
      <c r="G38" s="17"/>
      <c r="H38" s="33" t="s">
        <v>3451</v>
      </c>
      <c r="I38" s="36" t="s">
        <v>3456</v>
      </c>
    </row>
  </sheetData>
  <sortState ref="B7:H29">
    <sortCondition ref="C7:C29"/>
  </sortState>
  <mergeCells count="8">
    <mergeCell ref="B6:C6"/>
    <mergeCell ref="A1:D1"/>
    <mergeCell ref="E1:H1"/>
    <mergeCell ref="A2:D2"/>
    <mergeCell ref="E2:H2"/>
    <mergeCell ref="A4:H4"/>
    <mergeCell ref="A5:H5"/>
    <mergeCell ref="E6:F6"/>
  </mergeCells>
  <pageMargins left="0.2" right="0.2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opLeftCell="A10" workbookViewId="0">
      <selection activeCell="I40" sqref="I40"/>
    </sheetView>
  </sheetViews>
  <sheetFormatPr defaultRowHeight="15"/>
  <cols>
    <col min="1" max="1" width="5.28515625" style="1" customWidth="1"/>
    <col min="2" max="2" width="18.140625" style="1" customWidth="1"/>
    <col min="3" max="3" width="8.28515625" style="1" customWidth="1"/>
    <col min="4" max="4" width="10.5703125" style="1" customWidth="1"/>
    <col min="5" max="6" width="15.5703125" style="1" customWidth="1"/>
    <col min="7" max="7" width="17" style="1" bestFit="1" customWidth="1"/>
    <col min="8" max="8" width="18.5703125" style="1" customWidth="1"/>
    <col min="9" max="9" width="31.85546875" style="156" customWidth="1"/>
    <col min="10" max="16384" width="9.140625" style="1"/>
  </cols>
  <sheetData>
    <row r="1" spans="1:9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  <c r="I1" s="166"/>
    </row>
    <row r="2" spans="1:9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  <c r="I2" s="166"/>
    </row>
    <row r="3" spans="1:9" ht="15.75" customHeight="1">
      <c r="A3" s="2"/>
      <c r="B3" s="3"/>
      <c r="C3" s="3"/>
      <c r="D3" s="3"/>
    </row>
    <row r="4" spans="1:9" ht="15.75" customHeight="1">
      <c r="A4" s="308" t="s">
        <v>10</v>
      </c>
      <c r="B4" s="308"/>
      <c r="C4" s="308"/>
      <c r="D4" s="308"/>
      <c r="E4" s="308"/>
      <c r="F4" s="308"/>
      <c r="G4" s="308"/>
      <c r="H4" s="308"/>
      <c r="I4" s="167"/>
    </row>
    <row r="5" spans="1:9" s="4" customFormat="1" ht="23.25" customHeight="1">
      <c r="A5" s="309" t="s">
        <v>492</v>
      </c>
      <c r="B5" s="309"/>
      <c r="C5" s="309"/>
      <c r="D5" s="309"/>
      <c r="E5" s="309"/>
      <c r="F5" s="309"/>
      <c r="G5" s="309"/>
      <c r="H5" s="309"/>
      <c r="I5" s="168"/>
    </row>
    <row r="6" spans="1:9" s="8" customFormat="1" ht="45.75" customHeight="1">
      <c r="A6" s="5" t="s">
        <v>4</v>
      </c>
      <c r="B6" s="302" t="s">
        <v>5</v>
      </c>
      <c r="C6" s="303"/>
      <c r="D6" s="6" t="s">
        <v>6</v>
      </c>
      <c r="E6" s="304" t="s">
        <v>11</v>
      </c>
      <c r="F6" s="305"/>
      <c r="G6" s="20" t="s">
        <v>226</v>
      </c>
      <c r="H6" s="7" t="s">
        <v>7</v>
      </c>
      <c r="I6" s="5" t="s">
        <v>2973</v>
      </c>
    </row>
    <row r="7" spans="1:9" s="8" customFormat="1" ht="21" customHeight="1">
      <c r="A7" s="9">
        <f t="shared" ref="A7:A55" si="0">ROW()-6</f>
        <v>1</v>
      </c>
      <c r="B7" s="21" t="s">
        <v>536</v>
      </c>
      <c r="C7" s="22" t="s">
        <v>55</v>
      </c>
      <c r="D7" s="12">
        <v>39771</v>
      </c>
      <c r="E7" s="14"/>
      <c r="F7" s="14"/>
      <c r="G7" s="13"/>
      <c r="H7" s="13"/>
      <c r="I7" s="35" t="s">
        <v>2204</v>
      </c>
    </row>
    <row r="8" spans="1:9" s="8" customFormat="1" ht="21" customHeight="1">
      <c r="A8" s="9">
        <f t="shared" si="0"/>
        <v>2</v>
      </c>
      <c r="B8" s="21" t="s">
        <v>1781</v>
      </c>
      <c r="C8" s="22" t="s">
        <v>1780</v>
      </c>
      <c r="D8" s="12">
        <v>39811</v>
      </c>
      <c r="E8" s="35"/>
      <c r="F8" s="35"/>
      <c r="G8" s="13"/>
      <c r="H8" s="13" t="s">
        <v>1782</v>
      </c>
      <c r="I8" s="35" t="s">
        <v>2331</v>
      </c>
    </row>
    <row r="9" spans="1:9" s="8" customFormat="1" ht="21" customHeight="1">
      <c r="A9" s="9">
        <f t="shared" si="0"/>
        <v>3</v>
      </c>
      <c r="B9" s="21" t="s">
        <v>1137</v>
      </c>
      <c r="C9" s="22" t="s">
        <v>1780</v>
      </c>
      <c r="D9" s="12" t="s">
        <v>1761</v>
      </c>
      <c r="E9" s="35"/>
      <c r="F9" s="35"/>
      <c r="G9" s="17"/>
      <c r="H9" s="13" t="s">
        <v>2018</v>
      </c>
      <c r="I9" s="35" t="s">
        <v>2204</v>
      </c>
    </row>
    <row r="10" spans="1:9" s="8" customFormat="1" ht="21" customHeight="1">
      <c r="A10" s="9">
        <f t="shared" si="0"/>
        <v>4</v>
      </c>
      <c r="B10" s="21" t="s">
        <v>1152</v>
      </c>
      <c r="C10" s="22" t="s">
        <v>81</v>
      </c>
      <c r="D10" s="12">
        <v>39646</v>
      </c>
      <c r="E10" s="14"/>
      <c r="F10" s="14"/>
      <c r="G10" s="13"/>
      <c r="H10" s="13"/>
      <c r="I10" s="35" t="s">
        <v>2204</v>
      </c>
    </row>
    <row r="11" spans="1:9" s="8" customFormat="1" ht="21" customHeight="1">
      <c r="A11" s="9">
        <f t="shared" si="0"/>
        <v>5</v>
      </c>
      <c r="B11" s="21" t="s">
        <v>512</v>
      </c>
      <c r="C11" s="22" t="s">
        <v>510</v>
      </c>
      <c r="D11" s="12">
        <v>39481</v>
      </c>
      <c r="E11" s="35" t="s">
        <v>717</v>
      </c>
      <c r="F11" s="35" t="s">
        <v>544</v>
      </c>
      <c r="G11" s="17" t="s">
        <v>723</v>
      </c>
      <c r="H11" s="13" t="s">
        <v>1860</v>
      </c>
      <c r="I11" s="35" t="s">
        <v>2905</v>
      </c>
    </row>
    <row r="12" spans="1:9" s="8" customFormat="1" ht="21" customHeight="1">
      <c r="A12" s="9">
        <f t="shared" si="0"/>
        <v>6</v>
      </c>
      <c r="B12" s="187" t="s">
        <v>1128</v>
      </c>
      <c r="C12" s="188" t="s">
        <v>128</v>
      </c>
      <c r="D12" s="12">
        <v>39629</v>
      </c>
      <c r="E12" s="14"/>
      <c r="F12" s="14"/>
      <c r="G12" s="13"/>
      <c r="H12" s="13" t="s">
        <v>1602</v>
      </c>
      <c r="I12" s="35" t="s">
        <v>2312</v>
      </c>
    </row>
    <row r="13" spans="1:9" s="8" customFormat="1" ht="21" customHeight="1">
      <c r="A13" s="9">
        <f t="shared" si="0"/>
        <v>7</v>
      </c>
      <c r="B13" s="21" t="s">
        <v>2091</v>
      </c>
      <c r="C13" s="22" t="s">
        <v>179</v>
      </c>
      <c r="D13" s="12" t="s">
        <v>1859</v>
      </c>
      <c r="E13" s="35"/>
      <c r="F13" s="35"/>
      <c r="G13" s="17"/>
      <c r="H13" s="13" t="s">
        <v>2072</v>
      </c>
      <c r="I13" s="35" t="s">
        <v>2207</v>
      </c>
    </row>
    <row r="14" spans="1:9" s="8" customFormat="1" ht="21" customHeight="1">
      <c r="A14" s="9">
        <f t="shared" si="0"/>
        <v>8</v>
      </c>
      <c r="B14" s="21" t="s">
        <v>65</v>
      </c>
      <c r="C14" s="22" t="s">
        <v>60</v>
      </c>
      <c r="D14" s="12">
        <v>39569</v>
      </c>
      <c r="E14" s="13" t="s">
        <v>1022</v>
      </c>
      <c r="F14" s="13" t="s">
        <v>553</v>
      </c>
      <c r="G14" s="17" t="s">
        <v>1023</v>
      </c>
      <c r="H14" s="13"/>
      <c r="I14" s="35" t="s">
        <v>2204</v>
      </c>
    </row>
    <row r="15" spans="1:9" s="8" customFormat="1" ht="21" customHeight="1">
      <c r="A15" s="9">
        <f t="shared" si="0"/>
        <v>9</v>
      </c>
      <c r="B15" s="21" t="s">
        <v>175</v>
      </c>
      <c r="C15" s="22" t="s">
        <v>34</v>
      </c>
      <c r="D15" s="12">
        <v>39779</v>
      </c>
      <c r="E15" s="35" t="s">
        <v>713</v>
      </c>
      <c r="F15" s="35" t="s">
        <v>549</v>
      </c>
      <c r="G15" s="17" t="s">
        <v>715</v>
      </c>
      <c r="H15" s="13"/>
      <c r="I15" s="35" t="s">
        <v>3533</v>
      </c>
    </row>
    <row r="16" spans="1:9" s="8" customFormat="1" ht="21" customHeight="1">
      <c r="A16" s="9">
        <f t="shared" si="0"/>
        <v>10</v>
      </c>
      <c r="B16" s="21" t="s">
        <v>494</v>
      </c>
      <c r="C16" s="22" t="s">
        <v>495</v>
      </c>
      <c r="D16" s="12">
        <v>37474</v>
      </c>
      <c r="E16" s="35" t="s">
        <v>705</v>
      </c>
      <c r="F16" s="35" t="s">
        <v>541</v>
      </c>
      <c r="G16" s="17" t="s">
        <v>998</v>
      </c>
      <c r="H16" s="13" t="s">
        <v>1361</v>
      </c>
      <c r="I16" s="35" t="s">
        <v>2905</v>
      </c>
    </row>
    <row r="17" spans="1:11" s="8" customFormat="1" ht="21" customHeight="1">
      <c r="A17" s="9">
        <f t="shared" si="0"/>
        <v>11</v>
      </c>
      <c r="B17" s="21" t="s">
        <v>2813</v>
      </c>
      <c r="C17" s="22" t="s">
        <v>441</v>
      </c>
      <c r="D17" s="12">
        <v>39449</v>
      </c>
      <c r="E17" s="14"/>
      <c r="F17" s="14"/>
      <c r="G17" s="13"/>
      <c r="H17" s="13"/>
      <c r="I17" s="35" t="s">
        <v>3000</v>
      </c>
    </row>
    <row r="18" spans="1:11" s="8" customFormat="1" ht="21" customHeight="1">
      <c r="A18" s="9">
        <f t="shared" si="0"/>
        <v>12</v>
      </c>
      <c r="B18" s="21" t="s">
        <v>2006</v>
      </c>
      <c r="C18" s="22" t="s">
        <v>9</v>
      </c>
      <c r="D18" s="12" t="s">
        <v>2010</v>
      </c>
      <c r="E18" s="35"/>
      <c r="F18" s="35"/>
      <c r="G18" s="17"/>
      <c r="H18" s="13" t="s">
        <v>2018</v>
      </c>
      <c r="I18" s="35" t="s">
        <v>2204</v>
      </c>
    </row>
    <row r="19" spans="1:11" s="8" customFormat="1" ht="21" customHeight="1">
      <c r="A19" s="9">
        <f t="shared" si="0"/>
        <v>13</v>
      </c>
      <c r="B19" s="21" t="s">
        <v>1150</v>
      </c>
      <c r="C19" s="22" t="s">
        <v>92</v>
      </c>
      <c r="D19" s="12">
        <v>38638</v>
      </c>
      <c r="E19" s="35"/>
      <c r="F19" s="35"/>
      <c r="G19" s="17" t="s">
        <v>1304</v>
      </c>
      <c r="H19" s="13" t="s">
        <v>1860</v>
      </c>
      <c r="I19" s="35" t="s">
        <v>2207</v>
      </c>
    </row>
    <row r="20" spans="1:11" s="8" customFormat="1" ht="21" customHeight="1">
      <c r="A20" s="9">
        <f t="shared" si="0"/>
        <v>14</v>
      </c>
      <c r="B20" s="21" t="s">
        <v>514</v>
      </c>
      <c r="C20" s="22" t="s">
        <v>357</v>
      </c>
      <c r="D20" s="12">
        <v>39460</v>
      </c>
      <c r="E20" s="35" t="s">
        <v>926</v>
      </c>
      <c r="F20" s="35" t="s">
        <v>556</v>
      </c>
      <c r="G20" s="17" t="s">
        <v>1069</v>
      </c>
      <c r="H20" s="13" t="s">
        <v>1357</v>
      </c>
      <c r="I20" s="35" t="s">
        <v>2905</v>
      </c>
    </row>
    <row r="21" spans="1:11" s="8" customFormat="1" ht="21" customHeight="1">
      <c r="A21" s="9">
        <f t="shared" si="0"/>
        <v>15</v>
      </c>
      <c r="B21" s="21" t="s">
        <v>516</v>
      </c>
      <c r="C21" s="22" t="s">
        <v>97</v>
      </c>
      <c r="D21" s="12">
        <v>39567</v>
      </c>
      <c r="E21" s="35"/>
      <c r="F21" s="35"/>
      <c r="G21" s="17"/>
      <c r="H21" s="13" t="s">
        <v>1357</v>
      </c>
      <c r="I21" s="35" t="s">
        <v>2905</v>
      </c>
    </row>
    <row r="22" spans="1:11" s="8" customFormat="1" ht="21" customHeight="1">
      <c r="A22" s="9">
        <f t="shared" si="0"/>
        <v>16</v>
      </c>
      <c r="B22" s="21" t="s">
        <v>2007</v>
      </c>
      <c r="C22" s="22" t="s">
        <v>357</v>
      </c>
      <c r="D22" s="12" t="s">
        <v>2011</v>
      </c>
      <c r="E22" s="35"/>
      <c r="F22" s="35"/>
      <c r="G22" s="17"/>
      <c r="H22" s="13" t="s">
        <v>2018</v>
      </c>
      <c r="I22" s="35" t="s">
        <v>2905</v>
      </c>
    </row>
    <row r="23" spans="1:11" ht="21" customHeight="1">
      <c r="A23" s="9">
        <f t="shared" si="0"/>
        <v>17</v>
      </c>
      <c r="B23" s="21" t="s">
        <v>2007</v>
      </c>
      <c r="C23" s="22" t="s">
        <v>357</v>
      </c>
      <c r="D23" s="12" t="s">
        <v>1534</v>
      </c>
      <c r="E23" s="35"/>
      <c r="F23" s="35"/>
      <c r="G23" s="17"/>
      <c r="H23" s="13" t="s">
        <v>2106</v>
      </c>
      <c r="I23" s="35" t="s">
        <v>2905</v>
      </c>
    </row>
    <row r="24" spans="1:11" ht="23.25" customHeight="1">
      <c r="A24" s="9">
        <f t="shared" si="0"/>
        <v>18</v>
      </c>
      <c r="B24" s="21" t="s">
        <v>496</v>
      </c>
      <c r="C24" s="22" t="s">
        <v>201</v>
      </c>
      <c r="D24" s="12">
        <v>39762</v>
      </c>
      <c r="E24" s="35" t="s">
        <v>688</v>
      </c>
      <c r="F24" s="35" t="s">
        <v>556</v>
      </c>
      <c r="G24" s="17" t="s">
        <v>2034</v>
      </c>
      <c r="H24" s="13" t="s">
        <v>1364</v>
      </c>
      <c r="I24" s="35" t="s">
        <v>2204</v>
      </c>
    </row>
    <row r="25" spans="1:11" ht="23.25" customHeight="1">
      <c r="A25" s="9">
        <f t="shared" si="0"/>
        <v>19</v>
      </c>
      <c r="B25" s="21" t="s">
        <v>493</v>
      </c>
      <c r="C25" s="22" t="s">
        <v>183</v>
      </c>
      <c r="D25" s="12">
        <v>39221</v>
      </c>
      <c r="E25" s="35"/>
      <c r="F25" s="35"/>
      <c r="G25" s="13"/>
      <c r="H25" s="13"/>
      <c r="I25" s="35" t="s">
        <v>2905</v>
      </c>
    </row>
    <row r="26" spans="1:11" ht="23.25" customHeight="1">
      <c r="A26" s="9">
        <f t="shared" si="0"/>
        <v>20</v>
      </c>
      <c r="B26" s="21" t="s">
        <v>204</v>
      </c>
      <c r="C26" s="22" t="s">
        <v>62</v>
      </c>
      <c r="D26" s="12">
        <v>39461</v>
      </c>
      <c r="E26" s="35" t="s">
        <v>714</v>
      </c>
      <c r="F26" s="35" t="s">
        <v>541</v>
      </c>
      <c r="G26" s="13"/>
      <c r="H26" s="13"/>
      <c r="I26" s="35" t="s">
        <v>2905</v>
      </c>
      <c r="J26" s="1" t="str">
        <f>PROPER(B26)</f>
        <v xml:space="preserve">Nguyễn Thanh </v>
      </c>
      <c r="K26" s="1" t="str">
        <f>PROPER(C26)</f>
        <v>Thiện</v>
      </c>
    </row>
    <row r="27" spans="1:11" ht="23.25" customHeight="1">
      <c r="A27" s="9">
        <f t="shared" si="0"/>
        <v>21</v>
      </c>
      <c r="B27" s="21" t="s">
        <v>497</v>
      </c>
      <c r="C27" s="22" t="s">
        <v>151</v>
      </c>
      <c r="D27" s="12">
        <v>39680</v>
      </c>
      <c r="E27" s="35" t="s">
        <v>681</v>
      </c>
      <c r="F27" s="35" t="s">
        <v>544</v>
      </c>
      <c r="G27" s="13" t="s">
        <v>716</v>
      </c>
      <c r="H27" s="13"/>
      <c r="I27" s="35" t="s">
        <v>2314</v>
      </c>
      <c r="J27" s="1" t="str">
        <f t="shared" ref="J27:J32" si="1">PROPER(B27)</f>
        <v xml:space="preserve">Lâm Anh </v>
      </c>
      <c r="K27" s="1" t="str">
        <f t="shared" ref="K27:K32" si="2">PROPER(C27)</f>
        <v>Tiến</v>
      </c>
    </row>
    <row r="28" spans="1:11" ht="23.25" customHeight="1">
      <c r="A28" s="9">
        <f t="shared" si="0"/>
        <v>22</v>
      </c>
      <c r="B28" s="21" t="s">
        <v>1851</v>
      </c>
      <c r="C28" s="22" t="s">
        <v>1852</v>
      </c>
      <c r="D28" s="12">
        <v>39507</v>
      </c>
      <c r="E28" s="35"/>
      <c r="F28" s="35"/>
      <c r="G28" s="13"/>
      <c r="H28" s="13" t="s">
        <v>1833</v>
      </c>
      <c r="I28" s="35" t="s">
        <v>2905</v>
      </c>
      <c r="J28" s="1" t="str">
        <f t="shared" si="1"/>
        <v>Nguyễn Bảo</v>
      </c>
      <c r="K28" s="1" t="str">
        <f t="shared" si="2"/>
        <v>Trâm</v>
      </c>
    </row>
    <row r="29" spans="1:11" ht="23.25" customHeight="1">
      <c r="A29" s="9">
        <f t="shared" si="0"/>
        <v>23</v>
      </c>
      <c r="B29" s="21" t="s">
        <v>1922</v>
      </c>
      <c r="C29" s="22" t="s">
        <v>1852</v>
      </c>
      <c r="D29" s="12">
        <v>39750</v>
      </c>
      <c r="E29" s="35"/>
      <c r="F29" s="35"/>
      <c r="G29" s="17"/>
      <c r="H29" s="13" t="s">
        <v>1912</v>
      </c>
      <c r="I29" s="35" t="s">
        <v>2905</v>
      </c>
      <c r="J29" s="1" t="str">
        <f t="shared" si="1"/>
        <v>Huỳnh Thị</v>
      </c>
      <c r="K29" s="1" t="str">
        <f t="shared" si="2"/>
        <v>Trâm</v>
      </c>
    </row>
    <row r="30" spans="1:11" ht="23.25" customHeight="1">
      <c r="A30" s="9">
        <f t="shared" si="0"/>
        <v>24</v>
      </c>
      <c r="B30" s="21" t="s">
        <v>511</v>
      </c>
      <c r="C30" s="22" t="s">
        <v>252</v>
      </c>
      <c r="D30" s="12">
        <v>39580</v>
      </c>
      <c r="E30" s="35" t="s">
        <v>705</v>
      </c>
      <c r="F30" s="35" t="s">
        <v>541</v>
      </c>
      <c r="G30" s="17" t="s">
        <v>724</v>
      </c>
      <c r="H30" s="13" t="s">
        <v>1860</v>
      </c>
      <c r="I30" s="35" t="s">
        <v>2905</v>
      </c>
      <c r="J30" s="1" t="str">
        <f t="shared" si="1"/>
        <v>Nguyễn Ngô Cẩm</v>
      </c>
      <c r="K30" s="1" t="str">
        <f t="shared" si="2"/>
        <v>Tú</v>
      </c>
    </row>
    <row r="31" spans="1:11" ht="23.25" customHeight="1">
      <c r="A31" s="9">
        <f t="shared" si="0"/>
        <v>25</v>
      </c>
      <c r="B31" s="21" t="s">
        <v>2008</v>
      </c>
      <c r="C31" s="22" t="s">
        <v>2009</v>
      </c>
      <c r="D31" s="12" t="s">
        <v>2012</v>
      </c>
      <c r="E31" s="35"/>
      <c r="F31" s="35"/>
      <c r="G31" s="17"/>
      <c r="H31" s="13" t="s">
        <v>2018</v>
      </c>
      <c r="I31" s="35" t="s">
        <v>2208</v>
      </c>
      <c r="J31" s="1" t="str">
        <f t="shared" si="1"/>
        <v>Thượng Thị Vi</v>
      </c>
      <c r="K31" s="1" t="str">
        <f t="shared" si="2"/>
        <v>Xoa</v>
      </c>
    </row>
    <row r="32" spans="1:11" ht="23.25" customHeight="1">
      <c r="A32" s="9">
        <f t="shared" si="0"/>
        <v>26</v>
      </c>
      <c r="B32" s="21" t="s">
        <v>1337</v>
      </c>
      <c r="C32" s="22" t="s">
        <v>281</v>
      </c>
      <c r="D32" s="12" t="s">
        <v>2129</v>
      </c>
      <c r="E32" s="35"/>
      <c r="F32" s="35"/>
      <c r="G32" s="17"/>
      <c r="H32" s="13" t="s">
        <v>2106</v>
      </c>
      <c r="I32" s="35" t="s">
        <v>2204</v>
      </c>
      <c r="J32" s="1" t="str">
        <f t="shared" si="1"/>
        <v>Nguyễn Thị Như</v>
      </c>
      <c r="K32" s="1" t="str">
        <f t="shared" si="2"/>
        <v>Ý</v>
      </c>
    </row>
    <row r="33" spans="1:11" ht="23.25" customHeight="1">
      <c r="A33" s="9">
        <f t="shared" si="0"/>
        <v>27</v>
      </c>
      <c r="B33" s="21" t="s">
        <v>2546</v>
      </c>
      <c r="C33" s="22" t="s">
        <v>2547</v>
      </c>
      <c r="D33" s="12" t="s">
        <v>2118</v>
      </c>
      <c r="E33" s="35"/>
      <c r="F33" s="35"/>
      <c r="G33" s="17"/>
      <c r="H33" s="13" t="s">
        <v>2531</v>
      </c>
      <c r="I33" s="35" t="s">
        <v>2204</v>
      </c>
      <c r="J33" s="1" t="str">
        <f t="shared" ref="J33:J35" si="3">PROPER(B33)</f>
        <v>Phan Tấn</v>
      </c>
      <c r="K33" s="1" t="str">
        <f t="shared" ref="K33:K35" si="4">PROPER(C33)</f>
        <v>Hảo</v>
      </c>
    </row>
    <row r="34" spans="1:11" ht="23.25" customHeight="1">
      <c r="A34" s="9">
        <f t="shared" si="0"/>
        <v>28</v>
      </c>
      <c r="B34" s="21" t="s">
        <v>1916</v>
      </c>
      <c r="C34" s="22" t="s">
        <v>34</v>
      </c>
      <c r="D34" s="12" t="s">
        <v>2548</v>
      </c>
      <c r="E34" s="35"/>
      <c r="F34" s="35"/>
      <c r="G34" s="17"/>
      <c r="H34" s="13" t="s">
        <v>2531</v>
      </c>
      <c r="I34" s="35" t="s">
        <v>2208</v>
      </c>
      <c r="J34" s="1" t="str">
        <f t="shared" si="3"/>
        <v>Nguyễn Tuấn</v>
      </c>
      <c r="K34" s="1" t="str">
        <f t="shared" si="4"/>
        <v>Kiệt</v>
      </c>
    </row>
    <row r="35" spans="1:11" ht="23.25" customHeight="1">
      <c r="A35" s="9">
        <f t="shared" si="0"/>
        <v>29</v>
      </c>
      <c r="B35" s="21" t="s">
        <v>1125</v>
      </c>
      <c r="C35" s="22" t="s">
        <v>166</v>
      </c>
      <c r="D35" s="12" t="s">
        <v>2670</v>
      </c>
      <c r="E35" s="35"/>
      <c r="F35" s="35"/>
      <c r="G35" s="17"/>
      <c r="H35" s="13" t="s">
        <v>2640</v>
      </c>
      <c r="I35" s="36" t="s">
        <v>3433</v>
      </c>
      <c r="J35" s="1" t="str">
        <f t="shared" si="3"/>
        <v>Nguyễn Hoàng</v>
      </c>
      <c r="K35" s="1" t="str">
        <f t="shared" si="4"/>
        <v>Hưng</v>
      </c>
    </row>
    <row r="36" spans="1:11" ht="23.25" customHeight="1">
      <c r="A36" s="9">
        <f t="shared" si="0"/>
        <v>30</v>
      </c>
      <c r="B36" s="21" t="s">
        <v>2669</v>
      </c>
      <c r="C36" s="22" t="s">
        <v>83</v>
      </c>
      <c r="D36" s="12" t="s">
        <v>2375</v>
      </c>
      <c r="E36" s="35"/>
      <c r="F36" s="35"/>
      <c r="G36" s="17"/>
      <c r="H36" s="13" t="s">
        <v>2640</v>
      </c>
      <c r="I36" s="35" t="s">
        <v>2204</v>
      </c>
      <c r="J36" s="1" t="str">
        <f t="shared" ref="J36" si="5">PROPER(B36)</f>
        <v>Nguyễn Phạm Duy</v>
      </c>
      <c r="K36" s="1" t="str">
        <f t="shared" ref="K36" si="6">PROPER(C36)</f>
        <v>Khôi</v>
      </c>
    </row>
    <row r="37" spans="1:11" ht="23.25" customHeight="1">
      <c r="A37" s="9">
        <f t="shared" si="0"/>
        <v>31</v>
      </c>
      <c r="B37" s="21" t="s">
        <v>524</v>
      </c>
      <c r="C37" s="22" t="s">
        <v>130</v>
      </c>
      <c r="D37" s="12" t="s">
        <v>2756</v>
      </c>
      <c r="E37" s="35"/>
      <c r="F37" s="35"/>
      <c r="G37" s="17"/>
      <c r="H37" s="13" t="s">
        <v>2759</v>
      </c>
      <c r="I37" s="35" t="s">
        <v>2341</v>
      </c>
      <c r="J37" s="1" t="str">
        <f t="shared" ref="J37:J40" si="7">PROPER(B37)</f>
        <v>Nguyễn Đức</v>
      </c>
      <c r="K37" s="1" t="str">
        <f t="shared" ref="K37:K40" si="8">PROPER(C37)</f>
        <v>Toàn</v>
      </c>
    </row>
    <row r="38" spans="1:11" ht="23.25" customHeight="1">
      <c r="A38" s="9">
        <f t="shared" si="0"/>
        <v>32</v>
      </c>
      <c r="B38" s="21" t="s">
        <v>1128</v>
      </c>
      <c r="C38" s="22" t="s">
        <v>2552</v>
      </c>
      <c r="D38" s="12" t="s">
        <v>2757</v>
      </c>
      <c r="E38" s="35"/>
      <c r="F38" s="35"/>
      <c r="G38" s="17"/>
      <c r="H38" s="13" t="s">
        <v>2759</v>
      </c>
      <c r="I38" s="35" t="s">
        <v>2204</v>
      </c>
      <c r="J38" s="1" t="str">
        <f t="shared" si="7"/>
        <v>Nguyễn Quốc</v>
      </c>
      <c r="K38" s="1" t="str">
        <f t="shared" si="8"/>
        <v>Hào</v>
      </c>
    </row>
    <row r="39" spans="1:11" ht="23.25" customHeight="1">
      <c r="A39" s="9">
        <f t="shared" si="0"/>
        <v>33</v>
      </c>
      <c r="B39" s="21" t="s">
        <v>2760</v>
      </c>
      <c r="C39" s="22" t="s">
        <v>123</v>
      </c>
      <c r="D39" s="12" t="s">
        <v>2758</v>
      </c>
      <c r="E39" s="35"/>
      <c r="F39" s="35"/>
      <c r="G39" s="17"/>
      <c r="H39" s="13" t="s">
        <v>2759</v>
      </c>
      <c r="I39" s="35" t="s">
        <v>2204</v>
      </c>
      <c r="J39" s="1" t="str">
        <f t="shared" si="7"/>
        <v>Đinh Tiến</v>
      </c>
      <c r="K39" s="1" t="str">
        <f t="shared" si="8"/>
        <v>Hùng</v>
      </c>
    </row>
    <row r="40" spans="1:11" ht="23.25" customHeight="1">
      <c r="A40" s="9">
        <f t="shared" si="0"/>
        <v>34</v>
      </c>
      <c r="B40" s="21" t="s">
        <v>2768</v>
      </c>
      <c r="C40" s="22" t="s">
        <v>201</v>
      </c>
      <c r="D40" s="12">
        <v>38324</v>
      </c>
      <c r="E40" s="35"/>
      <c r="F40" s="35"/>
      <c r="G40" s="17"/>
      <c r="H40" s="13" t="s">
        <v>2759</v>
      </c>
      <c r="I40" s="35" t="s">
        <v>2204</v>
      </c>
      <c r="J40" s="1" t="str">
        <f t="shared" si="7"/>
        <v>Lê Văn Minh</v>
      </c>
      <c r="K40" s="1" t="str">
        <f t="shared" si="8"/>
        <v>Quân</v>
      </c>
    </row>
    <row r="41" spans="1:11" ht="23.25" customHeight="1">
      <c r="A41" s="9">
        <f t="shared" si="0"/>
        <v>35</v>
      </c>
      <c r="B41" s="21" t="s">
        <v>2660</v>
      </c>
      <c r="C41" s="22" t="s">
        <v>2769</v>
      </c>
      <c r="D41" s="12">
        <v>39359</v>
      </c>
      <c r="E41" s="35"/>
      <c r="F41" s="35"/>
      <c r="G41" s="17"/>
      <c r="H41" s="13" t="s">
        <v>2759</v>
      </c>
      <c r="I41" s="35" t="s">
        <v>2905</v>
      </c>
      <c r="J41" s="1" t="str">
        <f t="shared" ref="J41:J42" si="9">PROPER(B41)</f>
        <v>Trần Thị Thanh</v>
      </c>
      <c r="K41" s="1" t="str">
        <f t="shared" ref="K41:K42" si="10">PROPER(C41)</f>
        <v>Thúy</v>
      </c>
    </row>
    <row r="42" spans="1:11" ht="23.25" customHeight="1">
      <c r="A42" s="9">
        <f t="shared" si="0"/>
        <v>36</v>
      </c>
      <c r="B42" s="21" t="s">
        <v>1250</v>
      </c>
      <c r="C42" s="22" t="s">
        <v>269</v>
      </c>
      <c r="D42" s="12">
        <v>39527</v>
      </c>
      <c r="E42" s="35"/>
      <c r="F42" s="35"/>
      <c r="G42" s="17"/>
      <c r="H42" s="13" t="s">
        <v>2759</v>
      </c>
      <c r="I42" s="35" t="s">
        <v>2208</v>
      </c>
      <c r="J42" s="1" t="str">
        <f t="shared" si="9"/>
        <v>Nguyễn Thị Thanh</v>
      </c>
      <c r="K42" s="1" t="str">
        <f t="shared" si="10"/>
        <v>Xuân</v>
      </c>
    </row>
    <row r="43" spans="1:11" ht="23.25" customHeight="1">
      <c r="A43" s="9">
        <f t="shared" si="0"/>
        <v>37</v>
      </c>
      <c r="B43" s="21" t="s">
        <v>2539</v>
      </c>
      <c r="C43" s="22" t="s">
        <v>333</v>
      </c>
      <c r="D43" s="12" t="s">
        <v>2540</v>
      </c>
      <c r="E43" s="35" t="s">
        <v>995</v>
      </c>
      <c r="F43" s="35" t="s">
        <v>544</v>
      </c>
      <c r="G43" s="17" t="s">
        <v>2728</v>
      </c>
      <c r="H43" s="13" t="s">
        <v>2531</v>
      </c>
      <c r="I43" s="36" t="s">
        <v>3026</v>
      </c>
      <c r="J43" s="1" t="str">
        <f t="shared" ref="J43:J46" si="11">PROPER(B43)</f>
        <v>Châu Phương</v>
      </c>
      <c r="K43" s="1" t="str">
        <f t="shared" ref="K43:K46" si="12">PROPER(C43)</f>
        <v>Hồng</v>
      </c>
    </row>
    <row r="44" spans="1:11" ht="23.25" customHeight="1">
      <c r="A44" s="9">
        <f t="shared" si="0"/>
        <v>38</v>
      </c>
      <c r="B44" s="21" t="s">
        <v>3054</v>
      </c>
      <c r="C44" s="22" t="s">
        <v>123</v>
      </c>
      <c r="D44" s="12" t="s">
        <v>3055</v>
      </c>
      <c r="E44" s="35"/>
      <c r="F44" s="35"/>
      <c r="G44" s="17" t="s">
        <v>3140</v>
      </c>
      <c r="H44" s="13" t="s">
        <v>3048</v>
      </c>
      <c r="I44" s="35" t="s">
        <v>2204</v>
      </c>
      <c r="J44" s="1" t="str">
        <f t="shared" si="11"/>
        <v>Hoàng Phi</v>
      </c>
      <c r="K44" s="1" t="str">
        <f t="shared" si="12"/>
        <v>Hùng</v>
      </c>
    </row>
    <row r="45" spans="1:11" ht="23.25" customHeight="1">
      <c r="A45" s="9">
        <f t="shared" si="0"/>
        <v>39</v>
      </c>
      <c r="B45" s="21" t="s">
        <v>3081</v>
      </c>
      <c r="C45" s="22" t="s">
        <v>55</v>
      </c>
      <c r="D45" s="12" t="s">
        <v>3082</v>
      </c>
      <c r="E45" s="35" t="s">
        <v>570</v>
      </c>
      <c r="F45" s="35" t="s">
        <v>541</v>
      </c>
      <c r="G45" s="17" t="s">
        <v>3159</v>
      </c>
      <c r="H45" s="13" t="s">
        <v>3070</v>
      </c>
      <c r="I45" s="35" t="s">
        <v>2632</v>
      </c>
      <c r="J45" s="1" t="str">
        <f t="shared" si="11"/>
        <v>Huỳnh Song Thiên</v>
      </c>
      <c r="K45" s="1" t="str">
        <f t="shared" si="12"/>
        <v>Bảo</v>
      </c>
    </row>
    <row r="46" spans="1:11" ht="23.25" customHeight="1">
      <c r="A46" s="9">
        <f t="shared" si="0"/>
        <v>40</v>
      </c>
      <c r="B46" s="21" t="s">
        <v>3267</v>
      </c>
      <c r="C46" s="22" t="s">
        <v>290</v>
      </c>
      <c r="D46" s="12">
        <v>39284</v>
      </c>
      <c r="E46" s="35"/>
      <c r="F46" s="35"/>
      <c r="G46" s="17"/>
      <c r="H46" s="13" t="s">
        <v>3272</v>
      </c>
      <c r="I46" s="35" t="s">
        <v>2204</v>
      </c>
      <c r="J46" s="1" t="str">
        <f t="shared" si="11"/>
        <v>Võ Như Hạ</v>
      </c>
      <c r="K46" s="1" t="str">
        <f t="shared" si="12"/>
        <v>Vy</v>
      </c>
    </row>
    <row r="47" spans="1:11" ht="23.25" customHeight="1">
      <c r="A47" s="9">
        <f t="shared" si="0"/>
        <v>41</v>
      </c>
      <c r="B47" s="21" t="s">
        <v>174</v>
      </c>
      <c r="C47" s="22" t="s">
        <v>17</v>
      </c>
      <c r="D47" s="34">
        <v>39605</v>
      </c>
      <c r="E47" s="35"/>
      <c r="F47" s="35"/>
      <c r="G47" s="17" t="s">
        <v>722</v>
      </c>
      <c r="H47" s="33" t="s">
        <v>3268</v>
      </c>
      <c r="I47" s="35" t="s">
        <v>2204</v>
      </c>
      <c r="J47" s="1" t="str">
        <f t="shared" ref="J47:J49" si="13">PROPER(B47)</f>
        <v xml:space="preserve">Lê Minh </v>
      </c>
      <c r="K47" s="1" t="str">
        <f t="shared" ref="K47:K49" si="14">PROPER(C47)</f>
        <v>Hoàng</v>
      </c>
    </row>
    <row r="48" spans="1:11" ht="23.25" customHeight="1">
      <c r="A48" s="9">
        <f t="shared" si="0"/>
        <v>42</v>
      </c>
      <c r="B48" s="21" t="s">
        <v>1544</v>
      </c>
      <c r="C48" s="22" t="s">
        <v>224</v>
      </c>
      <c r="D48" s="34">
        <v>38237</v>
      </c>
      <c r="E48" s="35"/>
      <c r="F48" s="35"/>
      <c r="G48" s="17" t="s">
        <v>3296</v>
      </c>
      <c r="H48" s="17" t="s">
        <v>3272</v>
      </c>
      <c r="I48" s="35" t="s">
        <v>2204</v>
      </c>
      <c r="J48" s="1" t="str">
        <f t="shared" si="13"/>
        <v>Phạm Minh</v>
      </c>
      <c r="K48" s="1" t="str">
        <f t="shared" si="14"/>
        <v>Trí</v>
      </c>
    </row>
    <row r="49" spans="1:11" ht="23.25" customHeight="1">
      <c r="A49" s="9">
        <f t="shared" si="0"/>
        <v>43</v>
      </c>
      <c r="B49" s="21" t="s">
        <v>3299</v>
      </c>
      <c r="C49" s="22" t="s">
        <v>3300</v>
      </c>
      <c r="D49" s="34" t="s">
        <v>1935</v>
      </c>
      <c r="E49" s="35"/>
      <c r="F49" s="35"/>
      <c r="G49" s="17" t="s">
        <v>3338</v>
      </c>
      <c r="H49" s="17" t="s">
        <v>3304</v>
      </c>
      <c r="I49" s="35" t="s">
        <v>2207</v>
      </c>
      <c r="J49" s="1" t="str">
        <f t="shared" si="13"/>
        <v>Nguyễn Lâm Khánh</v>
      </c>
      <c r="K49" s="1" t="str">
        <f t="shared" si="14"/>
        <v>Đan</v>
      </c>
    </row>
    <row r="50" spans="1:11" ht="23.25" customHeight="1">
      <c r="A50" s="9">
        <f t="shared" si="0"/>
        <v>44</v>
      </c>
      <c r="B50" s="21" t="s">
        <v>3301</v>
      </c>
      <c r="C50" s="22" t="s">
        <v>470</v>
      </c>
      <c r="D50" s="34" t="s">
        <v>2107</v>
      </c>
      <c r="E50" s="35"/>
      <c r="F50" s="35"/>
      <c r="G50" s="17"/>
      <c r="H50" s="17" t="s">
        <v>3304</v>
      </c>
      <c r="I50" s="35" t="s">
        <v>2204</v>
      </c>
      <c r="J50" s="1" t="str">
        <f t="shared" ref="J50:K57" si="15">PROPER(B50)</f>
        <v xml:space="preserve">Hà Thị Hồng </v>
      </c>
      <c r="K50" s="1" t="str">
        <f t="shared" si="15"/>
        <v>Vân</v>
      </c>
    </row>
    <row r="51" spans="1:11" ht="23.25" customHeight="1">
      <c r="A51" s="9">
        <f t="shared" si="0"/>
        <v>45</v>
      </c>
      <c r="B51" s="21" t="s">
        <v>1084</v>
      </c>
      <c r="C51" s="22" t="s">
        <v>74</v>
      </c>
      <c r="D51" s="34" t="s">
        <v>3303</v>
      </c>
      <c r="E51" s="35"/>
      <c r="F51" s="35"/>
      <c r="G51" s="17"/>
      <c r="H51" s="17" t="s">
        <v>3304</v>
      </c>
      <c r="I51" s="35" t="s">
        <v>2204</v>
      </c>
      <c r="J51" s="1" t="str">
        <f t="shared" si="15"/>
        <v>Nguyễn Văn Minh</v>
      </c>
      <c r="K51" s="1" t="str">
        <f t="shared" si="15"/>
        <v>Nhật</v>
      </c>
    </row>
    <row r="52" spans="1:11" ht="23.25" customHeight="1">
      <c r="A52" s="9">
        <f t="shared" si="0"/>
        <v>46</v>
      </c>
      <c r="B52" s="21" t="s">
        <v>3430</v>
      </c>
      <c r="C52" s="22" t="s">
        <v>3302</v>
      </c>
      <c r="D52" s="34" t="s">
        <v>2268</v>
      </c>
      <c r="E52" s="35"/>
      <c r="F52" s="35"/>
      <c r="G52" s="17" t="s">
        <v>3305</v>
      </c>
      <c r="H52" s="17" t="s">
        <v>3304</v>
      </c>
      <c r="I52" s="35" t="s">
        <v>2208</v>
      </c>
      <c r="J52" s="1" t="str">
        <f t="shared" si="15"/>
        <v>Alăng Thị Phương</v>
      </c>
      <c r="K52" s="1" t="str">
        <f t="shared" si="15"/>
        <v>Dy</v>
      </c>
    </row>
    <row r="53" spans="1:11" ht="23.25" customHeight="1">
      <c r="A53" s="9">
        <f t="shared" si="0"/>
        <v>47</v>
      </c>
      <c r="B53" s="21" t="s">
        <v>1133</v>
      </c>
      <c r="C53" s="22" t="s">
        <v>252</v>
      </c>
      <c r="D53" s="34" t="s">
        <v>3449</v>
      </c>
      <c r="E53" s="35"/>
      <c r="F53" s="35"/>
      <c r="G53" s="17"/>
      <c r="H53" s="17" t="s">
        <v>3447</v>
      </c>
      <c r="I53" s="35" t="s">
        <v>2204</v>
      </c>
      <c r="J53" s="1" t="str">
        <f t="shared" si="15"/>
        <v>Nguyễn Văn</v>
      </c>
      <c r="K53" s="1" t="str">
        <f t="shared" si="15"/>
        <v>Tú</v>
      </c>
    </row>
    <row r="54" spans="1:11" ht="23.25" customHeight="1">
      <c r="A54" s="9">
        <f t="shared" si="0"/>
        <v>48</v>
      </c>
      <c r="B54" s="21" t="s">
        <v>3448</v>
      </c>
      <c r="C54" s="22" t="s">
        <v>532</v>
      </c>
      <c r="D54" s="34" t="s">
        <v>2858</v>
      </c>
      <c r="E54" s="35"/>
      <c r="F54" s="35"/>
      <c r="G54" s="17"/>
      <c r="H54" s="17" t="s">
        <v>3447</v>
      </c>
      <c r="I54" s="35" t="s">
        <v>3454</v>
      </c>
      <c r="J54" s="1" t="str">
        <f t="shared" si="15"/>
        <v xml:space="preserve">Trần Đình </v>
      </c>
      <c r="K54" s="1" t="str">
        <f t="shared" si="15"/>
        <v>Phước</v>
      </c>
    </row>
    <row r="55" spans="1:11" ht="23.25" customHeight="1">
      <c r="A55" s="9">
        <f t="shared" si="0"/>
        <v>49</v>
      </c>
      <c r="B55" s="21" t="s">
        <v>1854</v>
      </c>
      <c r="C55" s="22" t="s">
        <v>252</v>
      </c>
      <c r="D55" s="34">
        <v>39675</v>
      </c>
      <c r="E55" s="35"/>
      <c r="F55" s="35"/>
      <c r="G55" s="17"/>
      <c r="H55" s="17" t="s">
        <v>3451</v>
      </c>
      <c r="I55" s="35" t="s">
        <v>2204</v>
      </c>
      <c r="J55" s="1" t="str">
        <f t="shared" si="15"/>
        <v>Nguyễn Viết Minh</v>
      </c>
      <c r="K55" s="1" t="str">
        <f t="shared" si="15"/>
        <v>Tú</v>
      </c>
    </row>
    <row r="56" spans="1:11">
      <c r="J56" s="1" t="str">
        <f t="shared" si="15"/>
        <v/>
      </c>
      <c r="K56" s="1" t="str">
        <f t="shared" si="15"/>
        <v/>
      </c>
    </row>
    <row r="57" spans="1:11">
      <c r="J57" s="1" t="str">
        <f t="shared" si="15"/>
        <v/>
      </c>
      <c r="K57" s="1" t="str">
        <f t="shared" si="15"/>
        <v/>
      </c>
    </row>
  </sheetData>
  <sortState ref="B7:H32">
    <sortCondition ref="C7:C32"/>
  </sortState>
  <mergeCells count="8">
    <mergeCell ref="B6:C6"/>
    <mergeCell ref="A1:D1"/>
    <mergeCell ref="E1:H1"/>
    <mergeCell ref="A2:D2"/>
    <mergeCell ref="E2:H2"/>
    <mergeCell ref="A4:H4"/>
    <mergeCell ref="A5:H5"/>
    <mergeCell ref="E6:F6"/>
  </mergeCells>
  <pageMargins left="0.2" right="0.2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opLeftCell="A18" workbookViewId="0">
      <selection activeCell="I29" sqref="I29"/>
    </sheetView>
  </sheetViews>
  <sheetFormatPr defaultRowHeight="15"/>
  <cols>
    <col min="1" max="1" width="5.28515625" style="1" customWidth="1"/>
    <col min="2" max="2" width="20" style="1" customWidth="1"/>
    <col min="3" max="3" width="8.28515625" style="1" customWidth="1"/>
    <col min="4" max="4" width="9.85546875" style="1" customWidth="1"/>
    <col min="5" max="6" width="16.85546875" style="1" customWidth="1"/>
    <col min="7" max="8" width="17.85546875" style="1" customWidth="1"/>
    <col min="9" max="9" width="30.7109375" style="1" customWidth="1"/>
    <col min="10" max="10" width="26" style="1" customWidth="1"/>
    <col min="11" max="11" width="20" style="1" customWidth="1"/>
    <col min="12" max="16384" width="9.140625" style="1"/>
  </cols>
  <sheetData>
    <row r="1" spans="1:10" ht="15.75" customHeight="1">
      <c r="A1" s="306" t="s">
        <v>0</v>
      </c>
      <c r="B1" s="306"/>
      <c r="C1" s="306"/>
      <c r="D1" s="306"/>
      <c r="E1" s="315" t="s">
        <v>1</v>
      </c>
      <c r="F1" s="315"/>
      <c r="G1" s="315"/>
      <c r="H1" s="315"/>
      <c r="I1" s="315"/>
      <c r="J1" s="194"/>
    </row>
    <row r="2" spans="1:10" ht="15.75" customHeight="1">
      <c r="A2" s="307" t="s">
        <v>2</v>
      </c>
      <c r="B2" s="307"/>
      <c r="C2" s="307"/>
      <c r="D2" s="307"/>
      <c r="E2" s="315" t="s">
        <v>3041</v>
      </c>
      <c r="F2" s="315"/>
      <c r="G2" s="315"/>
      <c r="H2" s="315"/>
      <c r="I2" s="315"/>
      <c r="J2" s="194"/>
    </row>
    <row r="3" spans="1:10" ht="15.75" customHeight="1">
      <c r="A3" s="2"/>
      <c r="B3" s="3"/>
      <c r="C3" s="3"/>
      <c r="D3" s="3"/>
    </row>
    <row r="4" spans="1:10" ht="15.75" customHeight="1">
      <c r="A4" s="316" t="s">
        <v>10</v>
      </c>
      <c r="B4" s="316"/>
      <c r="C4" s="316"/>
      <c r="D4" s="316"/>
      <c r="E4" s="316"/>
      <c r="F4" s="316"/>
      <c r="G4" s="316"/>
      <c r="H4" s="316"/>
      <c r="I4" s="316"/>
      <c r="J4" s="195"/>
    </row>
    <row r="5" spans="1:10" s="4" customFormat="1" ht="23.25" customHeight="1">
      <c r="A5" s="317" t="s">
        <v>1717</v>
      </c>
      <c r="B5" s="317"/>
      <c r="C5" s="317"/>
      <c r="D5" s="317"/>
      <c r="E5" s="317"/>
      <c r="F5" s="317"/>
      <c r="G5" s="317"/>
      <c r="H5" s="317"/>
      <c r="I5" s="317"/>
      <c r="J5" s="196"/>
    </row>
    <row r="6" spans="1:10" s="8" customFormat="1" ht="45.75" customHeight="1">
      <c r="A6" s="5" t="s">
        <v>4</v>
      </c>
      <c r="B6" s="302" t="s">
        <v>5</v>
      </c>
      <c r="C6" s="303"/>
      <c r="D6" s="6" t="s">
        <v>6</v>
      </c>
      <c r="E6" s="304" t="s">
        <v>11</v>
      </c>
      <c r="F6" s="305"/>
      <c r="G6" s="20" t="s">
        <v>226</v>
      </c>
      <c r="H6" s="20" t="s">
        <v>2775</v>
      </c>
      <c r="I6" s="7" t="s">
        <v>7</v>
      </c>
      <c r="J6" s="7" t="s">
        <v>2887</v>
      </c>
    </row>
    <row r="7" spans="1:10" s="8" customFormat="1" ht="19.5" customHeight="1">
      <c r="A7" s="9">
        <f>ROW()-6</f>
        <v>1</v>
      </c>
      <c r="B7" s="21" t="s">
        <v>501</v>
      </c>
      <c r="C7" s="22" t="s">
        <v>70</v>
      </c>
      <c r="D7" s="34">
        <v>39675</v>
      </c>
      <c r="E7" s="35" t="s">
        <v>725</v>
      </c>
      <c r="F7" s="35" t="s">
        <v>541</v>
      </c>
      <c r="G7" s="30" t="s">
        <v>726</v>
      </c>
      <c r="H7" s="30" t="s">
        <v>3020</v>
      </c>
      <c r="I7" s="13"/>
      <c r="J7" s="13" t="s">
        <v>2215</v>
      </c>
    </row>
    <row r="8" spans="1:10" s="8" customFormat="1" ht="19.5" customHeight="1">
      <c r="A8" s="9">
        <f t="shared" ref="A8:A29" si="0">ROW()-6</f>
        <v>2</v>
      </c>
      <c r="B8" s="21" t="s">
        <v>1719</v>
      </c>
      <c r="C8" s="22" t="s">
        <v>70</v>
      </c>
      <c r="D8" s="34">
        <v>39760</v>
      </c>
      <c r="E8" s="35"/>
      <c r="G8" s="30" t="s">
        <v>3011</v>
      </c>
      <c r="H8" s="30" t="s">
        <v>3012</v>
      </c>
      <c r="I8" s="33" t="s">
        <v>2607</v>
      </c>
      <c r="J8" s="13" t="s">
        <v>3297</v>
      </c>
    </row>
    <row r="9" spans="1:10" s="8" customFormat="1" ht="19.5" customHeight="1">
      <c r="A9" s="9">
        <f t="shared" si="0"/>
        <v>3</v>
      </c>
      <c r="B9" s="21" t="s">
        <v>89</v>
      </c>
      <c r="C9" s="22" t="s">
        <v>361</v>
      </c>
      <c r="D9" s="34">
        <v>37469</v>
      </c>
      <c r="E9" s="35" t="s">
        <v>560</v>
      </c>
      <c r="F9" s="35" t="s">
        <v>541</v>
      </c>
      <c r="G9" s="30" t="s">
        <v>727</v>
      </c>
      <c r="H9" s="30"/>
      <c r="I9" s="13" t="s">
        <v>578</v>
      </c>
      <c r="J9" s="13" t="s">
        <v>2204</v>
      </c>
    </row>
    <row r="10" spans="1:10" s="8" customFormat="1" ht="19.5" customHeight="1">
      <c r="A10" s="9">
        <f t="shared" si="0"/>
        <v>4</v>
      </c>
      <c r="B10" s="21" t="s">
        <v>503</v>
      </c>
      <c r="C10" s="22" t="s">
        <v>397</v>
      </c>
      <c r="D10" s="34">
        <v>39731</v>
      </c>
      <c r="E10" s="35" t="s">
        <v>809</v>
      </c>
      <c r="F10" s="35" t="s">
        <v>544</v>
      </c>
      <c r="G10" s="30" t="s">
        <v>1010</v>
      </c>
      <c r="H10" s="30" t="s">
        <v>1010</v>
      </c>
      <c r="I10" s="13" t="s">
        <v>567</v>
      </c>
      <c r="J10" s="13" t="s">
        <v>2204</v>
      </c>
    </row>
    <row r="11" spans="1:10" s="8" customFormat="1" ht="19.5" customHeight="1">
      <c r="A11" s="9">
        <f t="shared" si="0"/>
        <v>5</v>
      </c>
      <c r="B11" s="21" t="s">
        <v>1467</v>
      </c>
      <c r="C11" s="22" t="s">
        <v>100</v>
      </c>
      <c r="D11" s="34">
        <v>39767</v>
      </c>
      <c r="E11" s="35"/>
      <c r="F11" s="35"/>
      <c r="G11" s="30" t="s">
        <v>3007</v>
      </c>
      <c r="H11" s="30" t="s">
        <v>3008</v>
      </c>
      <c r="I11" s="13"/>
      <c r="J11" s="13" t="s">
        <v>2204</v>
      </c>
    </row>
    <row r="12" spans="1:10" s="8" customFormat="1" ht="19.5" customHeight="1">
      <c r="A12" s="9">
        <f t="shared" si="0"/>
        <v>6</v>
      </c>
      <c r="B12" s="21" t="s">
        <v>431</v>
      </c>
      <c r="C12" s="22" t="s">
        <v>331</v>
      </c>
      <c r="D12" s="12">
        <v>39583</v>
      </c>
      <c r="E12" s="29"/>
      <c r="F12" s="29"/>
      <c r="G12" s="17" t="s">
        <v>3018</v>
      </c>
      <c r="H12" s="13"/>
      <c r="I12" s="13"/>
      <c r="J12" s="13" t="s">
        <v>2215</v>
      </c>
    </row>
    <row r="13" spans="1:10" s="8" customFormat="1" ht="19.5" customHeight="1">
      <c r="A13" s="9">
        <f t="shared" si="0"/>
        <v>7</v>
      </c>
      <c r="B13" s="21" t="s">
        <v>499</v>
      </c>
      <c r="C13" s="22" t="s">
        <v>500</v>
      </c>
      <c r="D13" s="34">
        <v>39448</v>
      </c>
      <c r="E13" s="35" t="s">
        <v>730</v>
      </c>
      <c r="F13" s="35" t="s">
        <v>553</v>
      </c>
      <c r="G13" s="30" t="s">
        <v>728</v>
      </c>
      <c r="H13" s="30" t="s">
        <v>3013</v>
      </c>
      <c r="I13" s="13"/>
      <c r="J13" s="13" t="s">
        <v>2204</v>
      </c>
    </row>
    <row r="14" spans="1:10" s="8" customFormat="1" ht="19.5" customHeight="1">
      <c r="A14" s="9">
        <f t="shared" si="0"/>
        <v>8</v>
      </c>
      <c r="B14" s="21" t="s">
        <v>1440</v>
      </c>
      <c r="C14" s="22" t="s">
        <v>1441</v>
      </c>
      <c r="D14" s="34">
        <v>39503</v>
      </c>
      <c r="E14" s="35"/>
      <c r="F14" s="35"/>
      <c r="G14" s="30" t="s">
        <v>3009</v>
      </c>
      <c r="H14" s="30" t="s">
        <v>3010</v>
      </c>
      <c r="I14" s="13"/>
      <c r="J14" s="13" t="s">
        <v>2341</v>
      </c>
    </row>
    <row r="15" spans="1:10" s="8" customFormat="1" ht="19.5" customHeight="1">
      <c r="A15" s="9">
        <f t="shared" si="0"/>
        <v>9</v>
      </c>
      <c r="B15" s="21" t="s">
        <v>1070</v>
      </c>
      <c r="C15" s="22" t="s">
        <v>183</v>
      </c>
      <c r="D15" s="34">
        <v>39450</v>
      </c>
      <c r="E15" s="35"/>
      <c r="F15" s="35"/>
      <c r="G15" s="30" t="s">
        <v>3023</v>
      </c>
      <c r="H15" s="30" t="s">
        <v>3014</v>
      </c>
      <c r="I15" s="13"/>
      <c r="J15" s="13" t="s">
        <v>2905</v>
      </c>
    </row>
    <row r="16" spans="1:10" s="8" customFormat="1" ht="19.5" customHeight="1">
      <c r="A16" s="9">
        <f t="shared" si="0"/>
        <v>10</v>
      </c>
      <c r="B16" s="21" t="s">
        <v>87</v>
      </c>
      <c r="C16" s="22" t="s">
        <v>498</v>
      </c>
      <c r="D16" s="34">
        <v>39250</v>
      </c>
      <c r="E16" s="35" t="s">
        <v>3019</v>
      </c>
      <c r="F16" s="35" t="s">
        <v>565</v>
      </c>
      <c r="G16" s="30" t="s">
        <v>3025</v>
      </c>
      <c r="H16" s="30" t="s">
        <v>3024</v>
      </c>
      <c r="I16" s="13"/>
      <c r="J16" s="13" t="s">
        <v>2204</v>
      </c>
    </row>
    <row r="17" spans="1:12" s="8" customFormat="1" ht="19.5" customHeight="1">
      <c r="A17" s="9">
        <f t="shared" si="0"/>
        <v>11</v>
      </c>
      <c r="B17" s="21" t="s">
        <v>502</v>
      </c>
      <c r="C17" s="22" t="s">
        <v>403</v>
      </c>
      <c r="D17" s="34">
        <v>39558</v>
      </c>
      <c r="E17" s="35" t="s">
        <v>1025</v>
      </c>
      <c r="F17" s="35" t="s">
        <v>556</v>
      </c>
      <c r="G17" s="30" t="s">
        <v>1026</v>
      </c>
      <c r="H17" s="30" t="s">
        <v>3015</v>
      </c>
      <c r="I17" s="13"/>
      <c r="J17" s="13" t="s">
        <v>2293</v>
      </c>
      <c r="K17" s="8" t="str">
        <f t="shared" ref="K17:L18" si="1">PROPER(B17)</f>
        <v xml:space="preserve">Thái Hoàng Mỹ </v>
      </c>
      <c r="L17" s="8" t="str">
        <f t="shared" si="1"/>
        <v>Uyên</v>
      </c>
    </row>
    <row r="18" spans="1:12" s="8" customFormat="1" ht="19.5" customHeight="1">
      <c r="A18" s="9">
        <f t="shared" si="0"/>
        <v>12</v>
      </c>
      <c r="B18" s="21" t="s">
        <v>1861</v>
      </c>
      <c r="C18" s="22" t="s">
        <v>90</v>
      </c>
      <c r="D18" s="34">
        <v>38891</v>
      </c>
      <c r="E18" s="35"/>
      <c r="F18" s="35"/>
      <c r="G18" s="30" t="s">
        <v>3006</v>
      </c>
      <c r="H18" s="30"/>
      <c r="I18" s="13" t="s">
        <v>1862</v>
      </c>
      <c r="J18" s="13" t="s">
        <v>2207</v>
      </c>
      <c r="K18" s="8" t="str">
        <f t="shared" si="1"/>
        <v>Trương Hoàng</v>
      </c>
      <c r="L18" s="8" t="str">
        <f t="shared" si="1"/>
        <v>Long</v>
      </c>
    </row>
    <row r="19" spans="1:12" s="8" customFormat="1" ht="19.5" customHeight="1">
      <c r="A19" s="9">
        <f t="shared" si="0"/>
        <v>13</v>
      </c>
      <c r="B19" s="21" t="s">
        <v>2043</v>
      </c>
      <c r="C19" s="22" t="s">
        <v>363</v>
      </c>
      <c r="D19" s="34" t="s">
        <v>2044</v>
      </c>
      <c r="E19" s="35"/>
      <c r="F19" s="35"/>
      <c r="G19" s="30"/>
      <c r="H19" s="30"/>
      <c r="I19" s="13" t="s">
        <v>2018</v>
      </c>
      <c r="J19" s="13" t="s">
        <v>2204</v>
      </c>
      <c r="K19" s="8" t="str">
        <f t="shared" ref="K19:L21" si="2">PROPER(B19)</f>
        <v>Phạm Thị Như</v>
      </c>
      <c r="L19" s="8" t="str">
        <f t="shared" si="2"/>
        <v>Quỳnh</v>
      </c>
    </row>
    <row r="20" spans="1:12" s="8" customFormat="1" ht="19.5" customHeight="1">
      <c r="A20" s="9">
        <f t="shared" si="0"/>
        <v>14</v>
      </c>
      <c r="B20" s="21" t="s">
        <v>2242</v>
      </c>
      <c r="C20" s="22" t="s">
        <v>310</v>
      </c>
      <c r="D20" s="34" t="s">
        <v>1345</v>
      </c>
      <c r="E20" s="35"/>
      <c r="F20" s="35"/>
      <c r="G20" s="30" t="s">
        <v>3021</v>
      </c>
      <c r="H20" s="30" t="s">
        <v>3022</v>
      </c>
      <c r="I20" s="13" t="s">
        <v>2243</v>
      </c>
      <c r="J20" s="13" t="s">
        <v>2905</v>
      </c>
      <c r="K20" s="8" t="str">
        <f t="shared" si="2"/>
        <v>Huỳnh Nguyễn Khánh</v>
      </c>
      <c r="L20" s="8" t="str">
        <f t="shared" si="2"/>
        <v>Huyền</v>
      </c>
    </row>
    <row r="21" spans="1:12" s="8" customFormat="1" ht="19.5" customHeight="1">
      <c r="A21" s="9">
        <f t="shared" si="0"/>
        <v>15</v>
      </c>
      <c r="B21" s="21" t="s">
        <v>1085</v>
      </c>
      <c r="C21" s="22" t="s">
        <v>201</v>
      </c>
      <c r="D21" s="34" t="s">
        <v>2358</v>
      </c>
      <c r="E21" s="35"/>
      <c r="F21" s="35"/>
      <c r="G21" s="30" t="s">
        <v>3016</v>
      </c>
      <c r="H21" s="30" t="s">
        <v>3017</v>
      </c>
      <c r="I21" s="13" t="s">
        <v>2359</v>
      </c>
      <c r="J21" s="13" t="s">
        <v>2204</v>
      </c>
      <c r="K21" s="8" t="str">
        <f t="shared" si="2"/>
        <v>Nguyễn Minh</v>
      </c>
      <c r="L21" s="8" t="str">
        <f t="shared" si="2"/>
        <v>Quân</v>
      </c>
    </row>
    <row r="22" spans="1:12" s="8" customFormat="1" ht="19.5" customHeight="1">
      <c r="A22" s="9">
        <f t="shared" si="0"/>
        <v>16</v>
      </c>
      <c r="B22" s="21" t="s">
        <v>1085</v>
      </c>
      <c r="C22" s="22" t="s">
        <v>201</v>
      </c>
      <c r="D22" s="34" t="s">
        <v>1199</v>
      </c>
      <c r="E22" s="35"/>
      <c r="F22" s="35"/>
      <c r="G22" s="30" t="s">
        <v>3004</v>
      </c>
      <c r="H22" s="30" t="s">
        <v>3005</v>
      </c>
      <c r="I22" s="13" t="s">
        <v>2640</v>
      </c>
      <c r="J22" s="13" t="s">
        <v>2204</v>
      </c>
      <c r="K22" s="8" t="str">
        <f t="shared" ref="K22:K26" si="3">PROPER(B22)</f>
        <v>Nguyễn Minh</v>
      </c>
      <c r="L22" s="8" t="str">
        <f t="shared" ref="L22:L26" si="4">PROPER(C22)</f>
        <v>Quân</v>
      </c>
    </row>
    <row r="23" spans="1:12" s="8" customFormat="1" ht="19.5" customHeight="1">
      <c r="A23" s="9">
        <f t="shared" si="0"/>
        <v>17</v>
      </c>
      <c r="B23" s="21" t="s">
        <v>1250</v>
      </c>
      <c r="C23" s="22" t="s">
        <v>351</v>
      </c>
      <c r="D23" s="34" t="s">
        <v>1728</v>
      </c>
      <c r="E23" s="35"/>
      <c r="F23" s="35"/>
      <c r="G23" s="30" t="s">
        <v>3002</v>
      </c>
      <c r="H23" s="30" t="s">
        <v>3003</v>
      </c>
      <c r="I23" s="13" t="s">
        <v>2640</v>
      </c>
      <c r="J23" s="13" t="s">
        <v>2312</v>
      </c>
      <c r="K23" s="8" t="str">
        <f t="shared" si="3"/>
        <v>Nguyễn Thị Thanh</v>
      </c>
      <c r="L23" s="8" t="str">
        <f t="shared" si="4"/>
        <v>Na</v>
      </c>
    </row>
    <row r="24" spans="1:12" s="8" customFormat="1" ht="19.5" customHeight="1">
      <c r="A24" s="9">
        <f t="shared" si="0"/>
        <v>18</v>
      </c>
      <c r="B24" s="21" t="s">
        <v>2932</v>
      </c>
      <c r="C24" s="22" t="s">
        <v>318</v>
      </c>
      <c r="D24" s="34">
        <v>39654</v>
      </c>
      <c r="E24" s="35"/>
      <c r="F24" s="35"/>
      <c r="G24" s="30" t="s">
        <v>3124</v>
      </c>
      <c r="H24" s="30" t="s">
        <v>3125</v>
      </c>
      <c r="I24" s="13" t="s">
        <v>2841</v>
      </c>
      <c r="J24" s="13" t="s">
        <v>2905</v>
      </c>
      <c r="K24" s="8" t="str">
        <f t="shared" si="3"/>
        <v>Mai Huyền Thục</v>
      </c>
      <c r="L24" s="8" t="str">
        <f t="shared" si="4"/>
        <v>Quyên</v>
      </c>
    </row>
    <row r="25" spans="1:12" s="8" customFormat="1" ht="19.5" customHeight="1">
      <c r="A25" s="9">
        <f t="shared" si="0"/>
        <v>19</v>
      </c>
      <c r="B25" s="21" t="s">
        <v>3348</v>
      </c>
      <c r="C25" s="22" t="s">
        <v>277</v>
      </c>
      <c r="D25" s="34">
        <v>39086</v>
      </c>
      <c r="E25" s="35"/>
      <c r="F25" s="35"/>
      <c r="G25" s="30" t="s">
        <v>3377</v>
      </c>
      <c r="H25" s="30" t="s">
        <v>3378</v>
      </c>
      <c r="I25" s="13" t="s">
        <v>3349</v>
      </c>
      <c r="J25" s="13" t="s">
        <v>2207</v>
      </c>
      <c r="K25" s="8" t="str">
        <f t="shared" ref="K25" si="5">PROPER(B25)</f>
        <v xml:space="preserve">Đặng Quỳnh </v>
      </c>
      <c r="L25" s="8" t="str">
        <f t="shared" ref="L25" si="6">PROPER(C25)</f>
        <v>Như</v>
      </c>
    </row>
    <row r="26" spans="1:12" s="8" customFormat="1" ht="19.5" customHeight="1">
      <c r="A26" s="9">
        <f t="shared" si="0"/>
        <v>20</v>
      </c>
      <c r="B26" s="21" t="s">
        <v>506</v>
      </c>
      <c r="C26" s="22" t="s">
        <v>137</v>
      </c>
      <c r="D26" s="34">
        <v>39583</v>
      </c>
      <c r="E26" s="35"/>
      <c r="F26" s="35"/>
      <c r="G26" s="30"/>
      <c r="H26" s="30"/>
      <c r="I26" s="132" t="s">
        <v>3404</v>
      </c>
      <c r="J26" s="13" t="s">
        <v>2204</v>
      </c>
      <c r="K26" s="8" t="str">
        <f t="shared" si="3"/>
        <v>Nguyễn</v>
      </c>
      <c r="L26" s="8" t="str">
        <f t="shared" si="4"/>
        <v>Hải</v>
      </c>
    </row>
    <row r="27" spans="1:12" s="8" customFormat="1" ht="19.5" customHeight="1">
      <c r="A27" s="9">
        <f t="shared" si="0"/>
        <v>21</v>
      </c>
      <c r="B27" s="21" t="s">
        <v>1411</v>
      </c>
      <c r="C27" s="22" t="s">
        <v>15</v>
      </c>
      <c r="D27" s="34">
        <v>39199</v>
      </c>
      <c r="E27" s="35"/>
      <c r="F27" s="35"/>
      <c r="G27" s="30" t="s">
        <v>3409</v>
      </c>
      <c r="H27" s="30" t="s">
        <v>3410</v>
      </c>
      <c r="I27" s="13" t="s">
        <v>3387</v>
      </c>
      <c r="J27" s="13" t="s">
        <v>2204</v>
      </c>
      <c r="K27" s="8" t="str">
        <f t="shared" ref="K27:K28" si="7">PROPER(B27)</f>
        <v>Trương Quang</v>
      </c>
      <c r="L27" s="8" t="str">
        <f t="shared" ref="L27:L28" si="8">PROPER(C27)</f>
        <v>Bình</v>
      </c>
    </row>
    <row r="28" spans="1:12" s="8" customFormat="1" ht="19.5" customHeight="1">
      <c r="A28" s="9">
        <f t="shared" si="0"/>
        <v>22</v>
      </c>
      <c r="B28" s="21" t="s">
        <v>3442</v>
      </c>
      <c r="C28" s="22" t="s">
        <v>151</v>
      </c>
      <c r="D28" s="34">
        <v>39751</v>
      </c>
      <c r="E28" s="35"/>
      <c r="F28" s="35"/>
      <c r="G28" s="30"/>
      <c r="H28" s="30"/>
      <c r="I28" s="13" t="s">
        <v>3443</v>
      </c>
      <c r="J28" s="33" t="s">
        <v>3444</v>
      </c>
      <c r="K28" s="8" t="str">
        <f t="shared" si="7"/>
        <v>Nguyễn Phúc</v>
      </c>
      <c r="L28" s="8" t="str">
        <f t="shared" si="8"/>
        <v>Tiến</v>
      </c>
    </row>
    <row r="29" spans="1:12" s="8" customFormat="1" ht="19.5" customHeight="1">
      <c r="A29" s="9">
        <f t="shared" si="0"/>
        <v>23</v>
      </c>
      <c r="B29" s="21" t="s">
        <v>1916</v>
      </c>
      <c r="C29" s="22" t="s">
        <v>100</v>
      </c>
      <c r="D29" s="34">
        <v>37837</v>
      </c>
      <c r="E29" s="35"/>
      <c r="F29" s="35"/>
      <c r="G29" s="30"/>
      <c r="H29" s="30"/>
      <c r="I29" s="34">
        <v>46316</v>
      </c>
      <c r="J29" s="33" t="s">
        <v>3543</v>
      </c>
    </row>
  </sheetData>
  <sortState ref="B7:H17">
    <sortCondition ref="C7:C17"/>
  </sortState>
  <mergeCells count="8">
    <mergeCell ref="B6:C6"/>
    <mergeCell ref="E6:F6"/>
    <mergeCell ref="A1:D1"/>
    <mergeCell ref="E1:I1"/>
    <mergeCell ref="A2:D2"/>
    <mergeCell ref="E2:I2"/>
    <mergeCell ref="A4:I4"/>
    <mergeCell ref="A5:I5"/>
  </mergeCells>
  <pageMargins left="0.2" right="0.2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opLeftCell="A22" workbookViewId="0">
      <selection activeCell="J30" sqref="J30"/>
    </sheetView>
  </sheetViews>
  <sheetFormatPr defaultRowHeight="15"/>
  <cols>
    <col min="1" max="1" width="5.28515625" style="1" customWidth="1"/>
    <col min="2" max="2" width="20" style="1" customWidth="1"/>
    <col min="3" max="3" width="8.28515625" style="1" customWidth="1"/>
    <col min="4" max="4" width="10.28515625" style="1" customWidth="1"/>
    <col min="5" max="6" width="16.85546875" style="1" customWidth="1"/>
    <col min="7" max="8" width="14.7109375" style="1" customWidth="1"/>
    <col min="9" max="9" width="30.85546875" style="1" customWidth="1"/>
    <col min="10" max="10" width="35.140625" style="1" customWidth="1"/>
    <col min="11" max="16384" width="9.140625" style="1"/>
  </cols>
  <sheetData>
    <row r="1" spans="1:13" ht="15.75" customHeight="1">
      <c r="A1" s="306" t="s">
        <v>0</v>
      </c>
      <c r="B1" s="306"/>
      <c r="C1" s="306"/>
      <c r="D1" s="306"/>
      <c r="E1" s="315" t="s">
        <v>1</v>
      </c>
      <c r="F1" s="315"/>
      <c r="G1" s="315"/>
      <c r="H1" s="315"/>
      <c r="I1" s="315"/>
      <c r="J1" s="183"/>
    </row>
    <row r="2" spans="1:13" ht="15.75" customHeight="1">
      <c r="A2" s="307" t="s">
        <v>2</v>
      </c>
      <c r="B2" s="307"/>
      <c r="C2" s="307"/>
      <c r="D2" s="307"/>
      <c r="E2" s="315" t="s">
        <v>3042</v>
      </c>
      <c r="F2" s="315"/>
      <c r="G2" s="315"/>
      <c r="H2" s="315"/>
      <c r="I2" s="315"/>
      <c r="J2" s="183"/>
    </row>
    <row r="3" spans="1:13" ht="15.75" customHeight="1">
      <c r="A3" s="2"/>
      <c r="B3" s="3"/>
      <c r="C3" s="3"/>
      <c r="D3" s="3"/>
    </row>
    <row r="4" spans="1:13" ht="15.75" customHeight="1">
      <c r="A4" s="316" t="s">
        <v>10</v>
      </c>
      <c r="B4" s="316"/>
      <c r="C4" s="316"/>
      <c r="D4" s="316"/>
      <c r="E4" s="316"/>
      <c r="F4" s="316"/>
      <c r="G4" s="316"/>
      <c r="H4" s="316"/>
      <c r="I4" s="316"/>
      <c r="J4" s="184"/>
    </row>
    <row r="5" spans="1:13" s="4" customFormat="1" ht="23.25" customHeight="1">
      <c r="A5" s="317" t="s">
        <v>1718</v>
      </c>
      <c r="B5" s="317"/>
      <c r="C5" s="317"/>
      <c r="D5" s="317"/>
      <c r="E5" s="317"/>
      <c r="F5" s="317"/>
      <c r="G5" s="317"/>
      <c r="H5" s="317"/>
      <c r="I5" s="317"/>
      <c r="J5" s="185"/>
    </row>
    <row r="6" spans="1:13" s="8" customFormat="1" ht="45.75" customHeight="1">
      <c r="A6" s="5" t="s">
        <v>4</v>
      </c>
      <c r="B6" s="302" t="s">
        <v>5</v>
      </c>
      <c r="C6" s="303"/>
      <c r="D6" s="6" t="s">
        <v>6</v>
      </c>
      <c r="E6" s="304" t="s">
        <v>11</v>
      </c>
      <c r="F6" s="305"/>
      <c r="G6" s="20" t="s">
        <v>226</v>
      </c>
      <c r="H6" s="20" t="s">
        <v>2775</v>
      </c>
      <c r="I6" s="7" t="s">
        <v>7</v>
      </c>
      <c r="J6" s="7" t="s">
        <v>2329</v>
      </c>
    </row>
    <row r="7" spans="1:13" s="8" customFormat="1" ht="19.5" customHeight="1">
      <c r="A7" s="9">
        <f t="shared" ref="A7:A30" si="0">ROW()-6</f>
        <v>1</v>
      </c>
      <c r="B7" s="21" t="s">
        <v>1251</v>
      </c>
      <c r="C7" s="22" t="s">
        <v>55</v>
      </c>
      <c r="D7" s="34" t="s">
        <v>1254</v>
      </c>
      <c r="E7" s="35"/>
      <c r="F7" s="35"/>
      <c r="G7" s="30" t="s">
        <v>2790</v>
      </c>
      <c r="H7" s="30" t="s">
        <v>2791</v>
      </c>
      <c r="I7" s="36" t="s">
        <v>2607</v>
      </c>
      <c r="J7" s="35" t="s">
        <v>2204</v>
      </c>
    </row>
    <row r="8" spans="1:13" s="8" customFormat="1" ht="19.5" customHeight="1">
      <c r="A8" s="9">
        <f t="shared" si="0"/>
        <v>2</v>
      </c>
      <c r="B8" s="21" t="s">
        <v>1598</v>
      </c>
      <c r="C8" s="22" t="s">
        <v>359</v>
      </c>
      <c r="D8" s="34">
        <v>39299</v>
      </c>
      <c r="E8" s="35"/>
      <c r="F8" s="35"/>
      <c r="G8" s="30" t="s">
        <v>2787</v>
      </c>
      <c r="H8" s="30"/>
      <c r="I8" s="13" t="s">
        <v>1602</v>
      </c>
      <c r="J8" s="35" t="s">
        <v>2204</v>
      </c>
    </row>
    <row r="9" spans="1:13" s="8" customFormat="1" ht="19.5" customHeight="1">
      <c r="A9" s="9">
        <f t="shared" si="0"/>
        <v>3</v>
      </c>
      <c r="B9" s="21" t="s">
        <v>87</v>
      </c>
      <c r="C9" s="22" t="s">
        <v>354</v>
      </c>
      <c r="D9" s="34">
        <v>39679</v>
      </c>
      <c r="E9" s="35"/>
      <c r="F9" s="35"/>
      <c r="G9" s="30" t="s">
        <v>2794</v>
      </c>
      <c r="H9" s="30" t="s">
        <v>2795</v>
      </c>
      <c r="I9" s="13"/>
      <c r="J9" s="35" t="s">
        <v>2204</v>
      </c>
    </row>
    <row r="10" spans="1:13" s="8" customFormat="1" ht="19.5" customHeight="1">
      <c r="A10" s="9">
        <f t="shared" si="0"/>
        <v>4</v>
      </c>
      <c r="B10" s="21" t="s">
        <v>504</v>
      </c>
      <c r="C10" s="22" t="s">
        <v>333</v>
      </c>
      <c r="D10" s="34">
        <v>37166</v>
      </c>
      <c r="E10" s="35" t="s">
        <v>705</v>
      </c>
      <c r="F10" s="35" t="s">
        <v>541</v>
      </c>
      <c r="G10" s="30" t="s">
        <v>729</v>
      </c>
      <c r="H10" s="30"/>
      <c r="I10" s="13" t="s">
        <v>578</v>
      </c>
      <c r="J10" s="35" t="s">
        <v>2204</v>
      </c>
    </row>
    <row r="11" spans="1:13" s="8" customFormat="1" ht="19.5" customHeight="1">
      <c r="A11" s="9">
        <f t="shared" si="0"/>
        <v>5</v>
      </c>
      <c r="B11" s="21" t="s">
        <v>1250</v>
      </c>
      <c r="C11" s="22" t="s">
        <v>315</v>
      </c>
      <c r="D11" s="34" t="s">
        <v>1253</v>
      </c>
      <c r="E11" s="35"/>
      <c r="F11" s="35"/>
      <c r="G11" s="30" t="s">
        <v>2793</v>
      </c>
      <c r="H11" s="30"/>
      <c r="I11" s="13"/>
      <c r="J11" s="35" t="s">
        <v>2204</v>
      </c>
      <c r="K11" s="8" t="str">
        <f>PROPER(B11)</f>
        <v>Nguyễn Thị Thanh</v>
      </c>
      <c r="L11" s="8" t="str">
        <f>PROPER(C11)</f>
        <v>Nhi</v>
      </c>
    </row>
    <row r="12" spans="1:13" s="8" customFormat="1" ht="19.5" customHeight="1">
      <c r="A12" s="9">
        <f t="shared" si="0"/>
        <v>6</v>
      </c>
      <c r="B12" s="21" t="s">
        <v>506</v>
      </c>
      <c r="C12" s="22" t="s">
        <v>159</v>
      </c>
      <c r="D12" s="34">
        <v>38473</v>
      </c>
      <c r="E12" s="35"/>
      <c r="F12" s="35"/>
      <c r="G12" s="30" t="s">
        <v>2799</v>
      </c>
      <c r="H12" s="30" t="s">
        <v>2800</v>
      </c>
      <c r="I12" s="13"/>
      <c r="J12" s="35" t="s">
        <v>3422</v>
      </c>
      <c r="K12" s="8" t="str">
        <f t="shared" ref="K12:L17" si="1">PROPER(B12)</f>
        <v>Nguyễn</v>
      </c>
      <c r="L12" s="8" t="str">
        <f t="shared" si="1"/>
        <v>Quyền</v>
      </c>
    </row>
    <row r="13" spans="1:13" s="8" customFormat="1" ht="19.5" customHeight="1">
      <c r="A13" s="9">
        <f t="shared" si="0"/>
        <v>7</v>
      </c>
      <c r="B13" s="21" t="s">
        <v>505</v>
      </c>
      <c r="C13" s="22" t="s">
        <v>312</v>
      </c>
      <c r="D13" s="34">
        <v>39480</v>
      </c>
      <c r="E13" s="35"/>
      <c r="F13" s="35"/>
      <c r="G13" s="30" t="s">
        <v>1071</v>
      </c>
      <c r="H13" s="30" t="s">
        <v>2798</v>
      </c>
      <c r="I13" s="13" t="s">
        <v>567</v>
      </c>
      <c r="J13" s="35" t="s">
        <v>2204</v>
      </c>
      <c r="K13" s="8" t="str">
        <f t="shared" si="1"/>
        <v>Nguyễn Hà Bảo</v>
      </c>
      <c r="L13" s="8" t="str">
        <f t="shared" si="1"/>
        <v>Thi</v>
      </c>
    </row>
    <row r="14" spans="1:13" s="8" customFormat="1" ht="19.5" customHeight="1">
      <c r="A14" s="9">
        <f t="shared" si="0"/>
        <v>8</v>
      </c>
      <c r="B14" s="21" t="s">
        <v>487</v>
      </c>
      <c r="C14" s="22" t="s">
        <v>68</v>
      </c>
      <c r="D14" s="34">
        <v>39397</v>
      </c>
      <c r="E14" s="35"/>
      <c r="F14" s="35"/>
      <c r="G14" s="30" t="s">
        <v>2783</v>
      </c>
      <c r="H14" s="30" t="s">
        <v>2784</v>
      </c>
      <c r="I14" s="13"/>
      <c r="J14" s="35" t="s">
        <v>2204</v>
      </c>
      <c r="K14" s="8" t="str">
        <f t="shared" si="1"/>
        <v xml:space="preserve">Trần Công </v>
      </c>
      <c r="L14" s="8" t="str">
        <f t="shared" si="1"/>
        <v>Trường</v>
      </c>
    </row>
    <row r="15" spans="1:13" s="8" customFormat="1" ht="19.5" customHeight="1">
      <c r="A15" s="9">
        <f t="shared" si="0"/>
        <v>9</v>
      </c>
      <c r="B15" s="21" t="s">
        <v>1249</v>
      </c>
      <c r="C15" s="22" t="s">
        <v>290</v>
      </c>
      <c r="D15" s="34" t="s">
        <v>1252</v>
      </c>
      <c r="E15" s="35"/>
      <c r="F15" s="35"/>
      <c r="G15" s="30" t="s">
        <v>2792</v>
      </c>
      <c r="H15" s="30"/>
      <c r="I15" s="13"/>
      <c r="J15" s="35" t="s">
        <v>2204</v>
      </c>
      <c r="K15" s="8" t="str">
        <f t="shared" si="1"/>
        <v>Nguyễn Triệu Yến</v>
      </c>
      <c r="L15" s="8" t="str">
        <f t="shared" si="1"/>
        <v>Vy</v>
      </c>
      <c r="M15" s="13"/>
    </row>
    <row r="16" spans="1:13" s="8" customFormat="1" ht="19.5" customHeight="1">
      <c r="A16" s="9">
        <f t="shared" si="0"/>
        <v>10</v>
      </c>
      <c r="B16" s="21" t="s">
        <v>1133</v>
      </c>
      <c r="C16" s="22" t="s">
        <v>55</v>
      </c>
      <c r="D16" s="34">
        <v>38033</v>
      </c>
      <c r="E16" s="35"/>
      <c r="F16" s="35"/>
      <c r="G16" s="30" t="s">
        <v>2781</v>
      </c>
      <c r="H16" s="30" t="s">
        <v>2782</v>
      </c>
      <c r="I16" s="13" t="s">
        <v>1833</v>
      </c>
      <c r="J16" s="35" t="s">
        <v>2204</v>
      </c>
      <c r="K16" s="8" t="str">
        <f t="shared" si="1"/>
        <v>Nguyễn Văn</v>
      </c>
      <c r="L16" s="8" t="str">
        <f t="shared" si="1"/>
        <v>Bảo</v>
      </c>
      <c r="M16" s="13"/>
    </row>
    <row r="17" spans="1:13" s="8" customFormat="1" ht="19.5" customHeight="1">
      <c r="A17" s="9">
        <f t="shared" si="0"/>
        <v>11</v>
      </c>
      <c r="B17" s="21" t="s">
        <v>506</v>
      </c>
      <c r="C17" s="22" t="s">
        <v>25</v>
      </c>
      <c r="D17" s="34">
        <v>39581</v>
      </c>
      <c r="E17" s="35"/>
      <c r="F17" s="35"/>
      <c r="G17" s="30" t="s">
        <v>2788</v>
      </c>
      <c r="H17" s="30" t="s">
        <v>2789</v>
      </c>
      <c r="I17" s="13" t="s">
        <v>1936</v>
      </c>
      <c r="J17" s="35" t="s">
        <v>2204</v>
      </c>
      <c r="K17" s="8" t="str">
        <f t="shared" si="1"/>
        <v>Nguyễn</v>
      </c>
      <c r="L17" s="8" t="str">
        <f t="shared" si="1"/>
        <v>Đạt</v>
      </c>
      <c r="M17" s="13"/>
    </row>
    <row r="18" spans="1:13" s="8" customFormat="1" ht="19.5" customHeight="1">
      <c r="A18" s="9">
        <f t="shared" si="0"/>
        <v>12</v>
      </c>
      <c r="B18" s="21" t="s">
        <v>2003</v>
      </c>
      <c r="C18" s="22" t="s">
        <v>2004</v>
      </c>
      <c r="D18" s="34" t="s">
        <v>2005</v>
      </c>
      <c r="E18" s="35"/>
      <c r="F18" s="35"/>
      <c r="G18" s="30" t="s">
        <v>2779</v>
      </c>
      <c r="H18" s="30" t="s">
        <v>2780</v>
      </c>
      <c r="I18" s="13" t="s">
        <v>1955</v>
      </c>
      <c r="J18" s="35" t="s">
        <v>2778</v>
      </c>
      <c r="K18" s="8" t="str">
        <f t="shared" ref="K18:K19" si="2">PROPER(B18)</f>
        <v>Trần Lê Kim</v>
      </c>
      <c r="L18" s="8" t="str">
        <f t="shared" ref="L18:L19" si="3">PROPER(C18)</f>
        <v>Thoại</v>
      </c>
      <c r="M18" s="13"/>
    </row>
    <row r="19" spans="1:13" s="8" customFormat="1" ht="19.5" customHeight="1">
      <c r="A19" s="9">
        <f t="shared" si="0"/>
        <v>13</v>
      </c>
      <c r="B19" s="21" t="s">
        <v>2090</v>
      </c>
      <c r="C19" s="22" t="s">
        <v>399</v>
      </c>
      <c r="D19" s="34" t="s">
        <v>1259</v>
      </c>
      <c r="E19" s="35"/>
      <c r="F19" s="35"/>
      <c r="G19" s="30" t="s">
        <v>2796</v>
      </c>
      <c r="H19" s="30" t="s">
        <v>2797</v>
      </c>
      <c r="I19" s="13" t="s">
        <v>2072</v>
      </c>
      <c r="J19" s="35" t="s">
        <v>2204</v>
      </c>
      <c r="K19" s="8" t="str">
        <f t="shared" si="2"/>
        <v>Phạm Chiến</v>
      </c>
      <c r="L19" s="8" t="str">
        <f t="shared" si="3"/>
        <v>Thắng</v>
      </c>
      <c r="M19" s="13"/>
    </row>
    <row r="20" spans="1:13" s="8" customFormat="1" ht="19.5" customHeight="1">
      <c r="A20" s="9">
        <f t="shared" si="0"/>
        <v>14</v>
      </c>
      <c r="B20" s="21" t="s">
        <v>2545</v>
      </c>
      <c r="C20" s="22" t="s">
        <v>111</v>
      </c>
      <c r="D20" s="34">
        <v>38512</v>
      </c>
      <c r="E20" s="35"/>
      <c r="F20" s="35"/>
      <c r="G20" s="30" t="s">
        <v>2988</v>
      </c>
      <c r="H20" s="30"/>
      <c r="I20" s="13" t="s">
        <v>2531</v>
      </c>
      <c r="J20" s="35" t="s">
        <v>2204</v>
      </c>
      <c r="K20" s="8" t="str">
        <f>PROPER(B20)</f>
        <v>Phạm Hưng</v>
      </c>
      <c r="L20" s="8" t="str">
        <f>PROPER(C20)</f>
        <v>Vũ</v>
      </c>
      <c r="M20" s="13"/>
    </row>
    <row r="21" spans="1:13" s="8" customFormat="1" ht="19.5" customHeight="1">
      <c r="A21" s="9">
        <f t="shared" si="0"/>
        <v>15</v>
      </c>
      <c r="B21" s="21" t="s">
        <v>2357</v>
      </c>
      <c r="C21" s="22" t="s">
        <v>47</v>
      </c>
      <c r="D21" s="34">
        <v>39124</v>
      </c>
      <c r="E21" s="35"/>
      <c r="F21" s="35"/>
      <c r="G21" s="30" t="s">
        <v>2776</v>
      </c>
      <c r="H21" s="30" t="s">
        <v>2777</v>
      </c>
      <c r="I21" s="13" t="s">
        <v>2772</v>
      </c>
      <c r="J21" s="35" t="s">
        <v>2204</v>
      </c>
      <c r="K21" s="8" t="e">
        <f>PROPER(#REF!)</f>
        <v>#REF!</v>
      </c>
      <c r="L21" s="8" t="e">
        <f>PROPER(#REF!)</f>
        <v>#REF!</v>
      </c>
      <c r="M21" s="13"/>
    </row>
    <row r="22" spans="1:13" s="8" customFormat="1" ht="19.5" customHeight="1">
      <c r="A22" s="9">
        <f t="shared" si="0"/>
        <v>16</v>
      </c>
      <c r="B22" s="21" t="s">
        <v>2947</v>
      </c>
      <c r="C22" s="22" t="s">
        <v>498</v>
      </c>
      <c r="D22" s="34" t="s">
        <v>2948</v>
      </c>
      <c r="E22" s="35" t="s">
        <v>3112</v>
      </c>
      <c r="F22" s="35" t="s">
        <v>541</v>
      </c>
      <c r="G22" s="30" t="s">
        <v>3111</v>
      </c>
      <c r="H22" s="30" t="s">
        <v>3110</v>
      </c>
      <c r="I22" s="13" t="s">
        <v>2841</v>
      </c>
      <c r="J22" s="35" t="s">
        <v>2204</v>
      </c>
      <c r="K22" s="8" t="str">
        <f>PROPER(B22)</f>
        <v>Lê Khánh</v>
      </c>
      <c r="L22" s="8" t="str">
        <f>PROPER(C22)</f>
        <v>Thiên</v>
      </c>
      <c r="M22" s="13"/>
    </row>
    <row r="23" spans="1:13" s="8" customFormat="1" ht="19.5" customHeight="1">
      <c r="A23" s="9">
        <f t="shared" si="0"/>
        <v>17</v>
      </c>
      <c r="B23" s="21" t="s">
        <v>3062</v>
      </c>
      <c r="C23" s="22" t="s">
        <v>101</v>
      </c>
      <c r="D23" s="34" t="s">
        <v>3061</v>
      </c>
      <c r="E23" s="35" t="s">
        <v>904</v>
      </c>
      <c r="F23" s="35" t="s">
        <v>3167</v>
      </c>
      <c r="G23" s="30" t="s">
        <v>3168</v>
      </c>
      <c r="H23" s="30" t="s">
        <v>3169</v>
      </c>
      <c r="I23" s="13" t="s">
        <v>3048</v>
      </c>
      <c r="J23" s="35" t="s">
        <v>2240</v>
      </c>
      <c r="K23" s="8" t="str">
        <f t="shared" ref="K23" si="4">PROPER(B23)</f>
        <v>Nguyễn Xuân</v>
      </c>
      <c r="L23" s="8" t="str">
        <f t="shared" ref="L23" si="5">PROPER(C23)</f>
        <v>Vinh</v>
      </c>
      <c r="M23" s="13"/>
    </row>
    <row r="24" spans="1:13" s="8" customFormat="1" ht="19.5" customHeight="1">
      <c r="A24" s="9">
        <f t="shared" si="0"/>
        <v>18</v>
      </c>
      <c r="B24" s="21" t="s">
        <v>3252</v>
      </c>
      <c r="C24" s="22" t="s">
        <v>25</v>
      </c>
      <c r="D24" s="34" t="s">
        <v>3253</v>
      </c>
      <c r="E24" s="35"/>
      <c r="F24" s="35"/>
      <c r="G24" s="30"/>
      <c r="H24" s="30"/>
      <c r="I24" s="13" t="s">
        <v>3251</v>
      </c>
      <c r="J24" s="36" t="s">
        <v>2946</v>
      </c>
      <c r="K24" s="8" t="str">
        <f>PROPER(B24)</f>
        <v xml:space="preserve">Huỳnh Lê </v>
      </c>
      <c r="L24" s="8" t="str">
        <f t="shared" ref="L24" si="6">PROPER(C24)</f>
        <v>Đạt</v>
      </c>
      <c r="M24" s="13"/>
    </row>
    <row r="25" spans="1:13" s="8" customFormat="1" ht="19.5" customHeight="1">
      <c r="A25" s="9">
        <f t="shared" si="0"/>
        <v>19</v>
      </c>
      <c r="B25" s="21" t="s">
        <v>3356</v>
      </c>
      <c r="C25" s="22" t="s">
        <v>3357</v>
      </c>
      <c r="D25" s="34" t="s">
        <v>3359</v>
      </c>
      <c r="E25" s="35" t="s">
        <v>827</v>
      </c>
      <c r="F25" s="35" t="s">
        <v>544</v>
      </c>
      <c r="G25" s="30" t="s">
        <v>3361</v>
      </c>
      <c r="H25" s="30" t="s">
        <v>3362</v>
      </c>
      <c r="I25" s="13" t="s">
        <v>3349</v>
      </c>
      <c r="J25" s="35" t="s">
        <v>2204</v>
      </c>
      <c r="K25" s="8" t="str">
        <f t="shared" ref="K25:K26" si="7">PROPER(B25)</f>
        <v>Võ Sơn</v>
      </c>
      <c r="L25" s="8" t="str">
        <f t="shared" ref="L25:L26" si="8">PROPER(C25)</f>
        <v>Tây</v>
      </c>
      <c r="M25" s="13"/>
    </row>
    <row r="26" spans="1:13" s="8" customFormat="1" ht="19.5" customHeight="1">
      <c r="A26" s="9">
        <f t="shared" si="0"/>
        <v>20</v>
      </c>
      <c r="B26" s="21" t="s">
        <v>3358</v>
      </c>
      <c r="C26" s="22" t="s">
        <v>25</v>
      </c>
      <c r="D26" s="34" t="s">
        <v>3360</v>
      </c>
      <c r="E26" s="35"/>
      <c r="F26" s="35"/>
      <c r="G26" s="30"/>
      <c r="H26" s="30"/>
      <c r="I26" s="13" t="s">
        <v>3349</v>
      </c>
      <c r="J26" s="36" t="s">
        <v>2946</v>
      </c>
      <c r="K26" s="8" t="str">
        <f t="shared" si="7"/>
        <v>Lưu Tiến</v>
      </c>
      <c r="L26" s="8" t="str">
        <f t="shared" si="8"/>
        <v>Đạt</v>
      </c>
      <c r="M26" s="13"/>
    </row>
    <row r="27" spans="1:13" s="8" customFormat="1" ht="19.5" customHeight="1">
      <c r="A27" s="9">
        <f t="shared" si="0"/>
        <v>21</v>
      </c>
      <c r="B27" s="21" t="s">
        <v>3367</v>
      </c>
      <c r="C27" s="22" t="s">
        <v>96</v>
      </c>
      <c r="D27" s="34">
        <v>39680</v>
      </c>
      <c r="E27" s="35"/>
      <c r="F27" s="35"/>
      <c r="G27" s="30" t="s">
        <v>3369</v>
      </c>
      <c r="H27" s="30" t="s">
        <v>3370</v>
      </c>
      <c r="I27" s="13" t="s">
        <v>3368</v>
      </c>
      <c r="J27" s="35" t="s">
        <v>2220</v>
      </c>
      <c r="K27" s="8" t="str">
        <f t="shared" ref="K27" si="9">PROPER(B27)</f>
        <v>Lý Hoàng</v>
      </c>
      <c r="L27" s="8" t="str">
        <f t="shared" ref="L27" si="10">PROPER(C27)</f>
        <v>Phát</v>
      </c>
      <c r="M27" s="13"/>
    </row>
    <row r="28" spans="1:13" s="8" customFormat="1" ht="19.5" customHeight="1">
      <c r="A28" s="9">
        <f t="shared" si="0"/>
        <v>22</v>
      </c>
      <c r="B28" s="21" t="s">
        <v>3388</v>
      </c>
      <c r="C28" s="22" t="s">
        <v>68</v>
      </c>
      <c r="D28" s="284" t="s">
        <v>3390</v>
      </c>
      <c r="E28" s="35"/>
      <c r="F28" s="35"/>
      <c r="G28" s="30"/>
      <c r="H28" s="30"/>
      <c r="I28" s="13" t="s">
        <v>3389</v>
      </c>
      <c r="J28" s="35" t="s">
        <v>3413</v>
      </c>
      <c r="K28" s="8" t="str">
        <f t="shared" ref="K28:K30" si="11">PROPER(B28)</f>
        <v>Nguyễn Thái Xuân</v>
      </c>
      <c r="L28" s="8" t="str">
        <f t="shared" ref="L28:L30" si="12">PROPER(C28)</f>
        <v>Trường</v>
      </c>
      <c r="M28" s="13"/>
    </row>
    <row r="29" spans="1:13" s="8" customFormat="1" ht="19.5" customHeight="1">
      <c r="A29" s="9">
        <f t="shared" si="0"/>
        <v>23</v>
      </c>
      <c r="B29" s="21" t="s">
        <v>3445</v>
      </c>
      <c r="C29" s="22" t="s">
        <v>47</v>
      </c>
      <c r="D29" s="289">
        <v>39397</v>
      </c>
      <c r="E29" s="35"/>
      <c r="F29" s="35"/>
      <c r="G29" s="30"/>
      <c r="H29" s="30"/>
      <c r="I29" s="13" t="s">
        <v>3443</v>
      </c>
      <c r="J29" s="36" t="s">
        <v>3464</v>
      </c>
      <c r="K29" s="8" t="str">
        <f t="shared" si="11"/>
        <v xml:space="preserve">Đỗ Viết </v>
      </c>
      <c r="L29" s="8" t="str">
        <f t="shared" si="12"/>
        <v>Thịnh</v>
      </c>
      <c r="M29" s="13"/>
    </row>
    <row r="30" spans="1:13" s="8" customFormat="1" ht="19.5" customHeight="1">
      <c r="A30" s="9">
        <f t="shared" si="0"/>
        <v>24</v>
      </c>
      <c r="B30" s="21" t="s">
        <v>2016</v>
      </c>
      <c r="C30" s="22" t="s">
        <v>399</v>
      </c>
      <c r="D30" s="289">
        <v>39775</v>
      </c>
      <c r="E30" s="35"/>
      <c r="F30" s="35"/>
      <c r="G30" s="30"/>
      <c r="H30" s="30"/>
      <c r="I30" s="13" t="s">
        <v>3490</v>
      </c>
      <c r="J30" s="35" t="s">
        <v>2204</v>
      </c>
      <c r="K30" s="8" t="str">
        <f t="shared" si="11"/>
        <v>Huỳnh Quốc</v>
      </c>
      <c r="L30" s="8" t="str">
        <f t="shared" si="12"/>
        <v>Thắng</v>
      </c>
      <c r="M30" s="13"/>
    </row>
  </sheetData>
  <sortState ref="B7:H16">
    <sortCondition ref="C7:C16"/>
  </sortState>
  <mergeCells count="8">
    <mergeCell ref="B6:C6"/>
    <mergeCell ref="A1:D1"/>
    <mergeCell ref="E1:I1"/>
    <mergeCell ref="A2:D2"/>
    <mergeCell ref="E2:I2"/>
    <mergeCell ref="A4:I4"/>
    <mergeCell ref="A5:I5"/>
    <mergeCell ref="E6:F6"/>
  </mergeCells>
  <pageMargins left="0.2" right="0.2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opLeftCell="A13" workbookViewId="0">
      <selection activeCell="F30" sqref="F30"/>
    </sheetView>
  </sheetViews>
  <sheetFormatPr defaultRowHeight="15"/>
  <cols>
    <col min="1" max="1" width="5.28515625" style="1" customWidth="1"/>
    <col min="2" max="2" width="18.140625" style="1" customWidth="1"/>
    <col min="3" max="3" width="8.28515625" style="1" customWidth="1"/>
    <col min="4" max="4" width="9.85546875" style="1" customWidth="1"/>
    <col min="5" max="5" width="15.28515625" style="1" customWidth="1"/>
    <col min="6" max="6" width="13.85546875" style="1" customWidth="1"/>
    <col min="7" max="7" width="14.7109375" style="1" customWidth="1"/>
    <col min="8" max="8" width="12" style="1" customWidth="1"/>
    <col min="9" max="16384" width="9.140625" style="1"/>
  </cols>
  <sheetData>
    <row r="1" spans="1:9" ht="15.75" customHeight="1">
      <c r="A1" s="306" t="s">
        <v>0</v>
      </c>
      <c r="B1" s="306"/>
      <c r="C1" s="306"/>
      <c r="D1" s="306"/>
      <c r="E1" s="307" t="s">
        <v>1</v>
      </c>
      <c r="F1" s="307"/>
      <c r="G1" s="307"/>
      <c r="H1" s="307"/>
    </row>
    <row r="2" spans="1:9" ht="15.75" customHeight="1">
      <c r="A2" s="307" t="s">
        <v>2</v>
      </c>
      <c r="B2" s="307"/>
      <c r="C2" s="307"/>
      <c r="D2" s="307"/>
      <c r="E2" s="307" t="s">
        <v>3</v>
      </c>
      <c r="F2" s="307"/>
      <c r="G2" s="307"/>
      <c r="H2" s="307"/>
    </row>
    <row r="3" spans="1:9" ht="15.75" customHeight="1">
      <c r="A3" s="2"/>
      <c r="B3" s="3"/>
      <c r="C3" s="3"/>
      <c r="D3" s="3"/>
    </row>
    <row r="4" spans="1:9" ht="15.75" customHeight="1">
      <c r="A4" s="308" t="s">
        <v>10</v>
      </c>
      <c r="B4" s="308"/>
      <c r="C4" s="308"/>
      <c r="D4" s="308"/>
      <c r="E4" s="308"/>
      <c r="F4" s="308"/>
      <c r="G4" s="308"/>
      <c r="H4" s="308"/>
    </row>
    <row r="5" spans="1:9" s="4" customFormat="1" ht="23.25" customHeight="1">
      <c r="A5" s="309" t="s">
        <v>519</v>
      </c>
      <c r="B5" s="309"/>
      <c r="C5" s="309"/>
      <c r="D5" s="309"/>
      <c r="E5" s="309"/>
      <c r="F5" s="309"/>
      <c r="G5" s="309"/>
      <c r="H5" s="309"/>
    </row>
    <row r="6" spans="1:9" s="8" customFormat="1" ht="45.75" customHeight="1">
      <c r="A6" s="5" t="s">
        <v>4</v>
      </c>
      <c r="B6" s="302" t="s">
        <v>5</v>
      </c>
      <c r="C6" s="303"/>
      <c r="D6" s="6" t="s">
        <v>6</v>
      </c>
      <c r="E6" s="304" t="s">
        <v>11</v>
      </c>
      <c r="F6" s="305"/>
      <c r="G6" s="20" t="s">
        <v>226</v>
      </c>
      <c r="H6" s="7" t="s">
        <v>7</v>
      </c>
    </row>
    <row r="7" spans="1:9" s="8" customFormat="1" ht="19.5" customHeight="1">
      <c r="A7" s="9">
        <f>ROW()-6</f>
        <v>1</v>
      </c>
      <c r="B7" s="21" t="s">
        <v>511</v>
      </c>
      <c r="C7" s="22" t="s">
        <v>252</v>
      </c>
      <c r="D7" s="12">
        <v>39580</v>
      </c>
      <c r="E7" s="35" t="s">
        <v>705</v>
      </c>
      <c r="F7" s="35" t="s">
        <v>541</v>
      </c>
      <c r="G7" s="17" t="s">
        <v>724</v>
      </c>
      <c r="H7" s="13" t="s">
        <v>507</v>
      </c>
    </row>
    <row r="8" spans="1:9" s="8" customFormat="1" ht="19.5" customHeight="1">
      <c r="A8" s="9">
        <f t="shared" ref="A8:A15" si="0">ROW()-6</f>
        <v>2</v>
      </c>
      <c r="B8" s="21" t="s">
        <v>512</v>
      </c>
      <c r="C8" s="22" t="s">
        <v>510</v>
      </c>
      <c r="D8" s="12">
        <v>39481</v>
      </c>
      <c r="E8" s="35" t="s">
        <v>717</v>
      </c>
      <c r="F8" s="35" t="s">
        <v>544</v>
      </c>
      <c r="G8" s="17" t="s">
        <v>723</v>
      </c>
      <c r="H8" s="13" t="s">
        <v>507</v>
      </c>
    </row>
    <row r="9" spans="1:9" s="8" customFormat="1" ht="19.5" customHeight="1">
      <c r="A9" s="9">
        <f t="shared" si="0"/>
        <v>3</v>
      </c>
      <c r="B9" s="21" t="s">
        <v>1150</v>
      </c>
      <c r="C9" s="22" t="s">
        <v>92</v>
      </c>
      <c r="D9" s="12"/>
      <c r="E9" s="14"/>
      <c r="F9" s="14"/>
      <c r="G9" s="17" t="s">
        <v>1304</v>
      </c>
      <c r="H9" s="13" t="s">
        <v>507</v>
      </c>
    </row>
    <row r="10" spans="1:9" s="8" customFormat="1" ht="19.5" customHeight="1">
      <c r="A10" s="9">
        <f t="shared" si="0"/>
        <v>4</v>
      </c>
      <c r="B10" s="54" t="s">
        <v>1247</v>
      </c>
      <c r="C10" s="57" t="s">
        <v>269</v>
      </c>
      <c r="D10" s="12">
        <v>39462</v>
      </c>
      <c r="E10" s="14"/>
      <c r="F10" s="14"/>
      <c r="G10" s="17" t="s">
        <v>1305</v>
      </c>
      <c r="H10" s="13" t="s">
        <v>507</v>
      </c>
    </row>
    <row r="11" spans="1:9" s="8" customFormat="1" ht="19.5" customHeight="1">
      <c r="A11" s="9">
        <f t="shared" si="0"/>
        <v>5</v>
      </c>
      <c r="B11" s="78" t="s">
        <v>1597</v>
      </c>
      <c r="C11" s="22" t="s">
        <v>271</v>
      </c>
      <c r="D11" s="12">
        <v>38610</v>
      </c>
      <c r="E11" s="14"/>
      <c r="F11" s="14"/>
      <c r="G11" s="17"/>
      <c r="H11" s="13" t="s">
        <v>507</v>
      </c>
      <c r="I11" s="79" t="s">
        <v>1602</v>
      </c>
    </row>
    <row r="12" spans="1:9" s="8" customFormat="1" ht="19.5" customHeight="1">
      <c r="A12" s="9">
        <f t="shared" si="0"/>
        <v>6</v>
      </c>
      <c r="B12" s="21" t="s">
        <v>1248</v>
      </c>
      <c r="C12" s="22" t="s">
        <v>66</v>
      </c>
      <c r="D12" s="12">
        <v>37670</v>
      </c>
      <c r="E12" s="14"/>
      <c r="F12" s="14"/>
      <c r="G12" s="17" t="s">
        <v>1306</v>
      </c>
      <c r="H12" s="13" t="s">
        <v>508</v>
      </c>
    </row>
    <row r="13" spans="1:9" s="8" customFormat="1" ht="19.5" customHeight="1">
      <c r="A13" s="9">
        <f t="shared" si="0"/>
        <v>7</v>
      </c>
      <c r="B13" s="77" t="s">
        <v>517</v>
      </c>
      <c r="C13" s="56"/>
      <c r="D13" s="12">
        <v>39740</v>
      </c>
      <c r="E13" s="35" t="s">
        <v>719</v>
      </c>
      <c r="F13" s="35" t="s">
        <v>631</v>
      </c>
      <c r="G13" s="17" t="s">
        <v>720</v>
      </c>
      <c r="H13" s="13" t="s">
        <v>518</v>
      </c>
    </row>
    <row r="14" spans="1:9" s="8" customFormat="1" ht="19.5" customHeight="1">
      <c r="A14" s="9">
        <f t="shared" si="0"/>
        <v>8</v>
      </c>
      <c r="B14" s="21" t="s">
        <v>515</v>
      </c>
      <c r="C14" s="22" t="s">
        <v>17</v>
      </c>
      <c r="D14" s="12">
        <v>39605</v>
      </c>
      <c r="E14" s="35" t="s">
        <v>718</v>
      </c>
      <c r="F14" s="35" t="s">
        <v>541</v>
      </c>
      <c r="G14" s="17" t="s">
        <v>722</v>
      </c>
      <c r="H14" s="13" t="s">
        <v>509</v>
      </c>
    </row>
    <row r="15" spans="1:9" s="8" customFormat="1" ht="19.5" customHeight="1">
      <c r="A15" s="9">
        <f t="shared" si="0"/>
        <v>9</v>
      </c>
      <c r="B15" s="21" t="s">
        <v>516</v>
      </c>
      <c r="C15" s="22" t="s">
        <v>97</v>
      </c>
      <c r="D15" s="12">
        <v>39567</v>
      </c>
      <c r="E15" s="35" t="s">
        <v>676</v>
      </c>
      <c r="F15" s="35" t="s">
        <v>541</v>
      </c>
      <c r="G15" s="17" t="s">
        <v>721</v>
      </c>
      <c r="H15" s="13" t="s">
        <v>509</v>
      </c>
      <c r="I15" s="24"/>
    </row>
    <row r="16" spans="1:9" s="8" customFormat="1" ht="19.5" customHeight="1">
      <c r="A16" s="9"/>
      <c r="B16" s="21"/>
      <c r="C16" s="22"/>
      <c r="D16" s="12"/>
      <c r="E16" s="14"/>
      <c r="F16" s="14"/>
      <c r="G16" s="13"/>
      <c r="H16" s="13"/>
    </row>
    <row r="17" spans="1:8" s="8" customFormat="1" ht="19.5" customHeight="1">
      <c r="A17" s="9"/>
      <c r="B17" s="21"/>
      <c r="C17" s="22"/>
      <c r="D17" s="12"/>
      <c r="E17" s="14"/>
      <c r="F17" s="14"/>
      <c r="G17" s="13"/>
      <c r="H17" s="13"/>
    </row>
    <row r="18" spans="1:8" s="8" customFormat="1" ht="19.5" customHeight="1">
      <c r="A18" s="9"/>
      <c r="B18" s="21"/>
      <c r="C18" s="22"/>
      <c r="D18" s="12"/>
      <c r="E18" s="14"/>
      <c r="F18" s="14"/>
      <c r="G18" s="13"/>
      <c r="H18" s="13"/>
    </row>
    <row r="19" spans="1:8" s="8" customFormat="1" ht="19.5" customHeight="1">
      <c r="A19" s="9"/>
      <c r="B19" s="10"/>
      <c r="C19" s="11"/>
      <c r="D19" s="12"/>
      <c r="E19" s="14"/>
      <c r="F19" s="14"/>
      <c r="G19" s="13"/>
      <c r="H19" s="13"/>
    </row>
    <row r="20" spans="1:8" s="8" customFormat="1" ht="19.5" customHeight="1">
      <c r="A20" s="9"/>
      <c r="B20" s="10"/>
      <c r="C20" s="11"/>
      <c r="D20" s="12"/>
      <c r="E20" s="14"/>
      <c r="F20" s="14"/>
      <c r="G20" s="13"/>
      <c r="H20" s="13"/>
    </row>
    <row r="21" spans="1:8">
      <c r="D21" s="19"/>
    </row>
    <row r="22" spans="1:8">
      <c r="D22" s="19"/>
    </row>
    <row r="23" spans="1:8">
      <c r="D23" s="18"/>
    </row>
    <row r="24" spans="1:8">
      <c r="D24" s="18"/>
    </row>
    <row r="25" spans="1:8">
      <c r="D25" s="18"/>
    </row>
    <row r="26" spans="1:8">
      <c r="D26" s="19"/>
    </row>
  </sheetData>
  <mergeCells count="8">
    <mergeCell ref="A4:H4"/>
    <mergeCell ref="A5:H5"/>
    <mergeCell ref="B6:C6"/>
    <mergeCell ref="E6:F6"/>
    <mergeCell ref="A1:D1"/>
    <mergeCell ref="E1:H1"/>
    <mergeCell ref="A2:D2"/>
    <mergeCell ref="E2:H2"/>
  </mergeCells>
  <pageMargins left="0.7" right="0.7" top="0.75" bottom="0.75" header="0.3" footer="0.3"/>
  <pageSetup paperSize="9" orientation="landscape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opLeftCell="A13" workbookViewId="0">
      <selection activeCell="A13" sqref="A1:XFD1048576"/>
    </sheetView>
  </sheetViews>
  <sheetFormatPr defaultRowHeight="15"/>
  <cols>
    <col min="1" max="1" width="9.140625" style="217"/>
    <col min="2" max="2" width="18.7109375" style="217" customWidth="1"/>
    <col min="3" max="3" width="9.140625" style="217"/>
    <col min="4" max="4" width="14.28515625" style="217" customWidth="1"/>
    <col min="5" max="5" width="14.85546875" style="217" customWidth="1"/>
    <col min="6" max="6" width="12" style="217" customWidth="1"/>
    <col min="7" max="16384" width="9.140625" style="217"/>
  </cols>
  <sheetData>
    <row r="1" spans="1:6" ht="30" customHeight="1">
      <c r="A1" s="216" t="s">
        <v>4</v>
      </c>
      <c r="B1" s="318" t="s">
        <v>5</v>
      </c>
      <c r="C1" s="318"/>
      <c r="D1" s="216" t="s">
        <v>3200</v>
      </c>
      <c r="E1" s="216" t="s">
        <v>3201</v>
      </c>
      <c r="F1" s="216" t="s">
        <v>7</v>
      </c>
    </row>
    <row r="2" spans="1:6" ht="17.25" customHeight="1">
      <c r="A2" s="218">
        <v>1</v>
      </c>
      <c r="B2" s="21" t="s">
        <v>2043</v>
      </c>
      <c r="C2" s="22" t="s">
        <v>363</v>
      </c>
      <c r="D2" s="34" t="s">
        <v>2044</v>
      </c>
      <c r="E2" s="225" t="s">
        <v>3215</v>
      </c>
      <c r="F2" s="222"/>
    </row>
    <row r="3" spans="1:6" ht="17.25" customHeight="1">
      <c r="A3" s="218">
        <v>2</v>
      </c>
      <c r="B3" s="84" t="s">
        <v>1082</v>
      </c>
      <c r="C3" s="85" t="s">
        <v>70</v>
      </c>
      <c r="D3" s="86">
        <v>39150</v>
      </c>
      <c r="E3" s="222" t="s">
        <v>3207</v>
      </c>
      <c r="F3" s="222"/>
    </row>
    <row r="4" spans="1:6" ht="17.25" customHeight="1">
      <c r="A4" s="218">
        <v>3</v>
      </c>
      <c r="B4" s="84" t="s">
        <v>109</v>
      </c>
      <c r="C4" s="85" t="s">
        <v>70</v>
      </c>
      <c r="D4" s="86">
        <v>39559</v>
      </c>
      <c r="E4" s="222" t="s">
        <v>3207</v>
      </c>
      <c r="F4" s="222"/>
    </row>
    <row r="5" spans="1:6" ht="17.25" customHeight="1">
      <c r="A5" s="218">
        <v>4</v>
      </c>
      <c r="B5" s="219" t="s">
        <v>18</v>
      </c>
      <c r="C5" s="220" t="s">
        <v>101</v>
      </c>
      <c r="D5" s="221">
        <v>39351</v>
      </c>
      <c r="E5" s="246" t="s">
        <v>3202</v>
      </c>
      <c r="F5" s="222"/>
    </row>
    <row r="6" spans="1:6" ht="17.25" customHeight="1">
      <c r="A6" s="218">
        <v>5</v>
      </c>
      <c r="B6" s="219" t="s">
        <v>1195</v>
      </c>
      <c r="C6" s="247" t="s">
        <v>94</v>
      </c>
      <c r="D6" s="223" t="s">
        <v>1190</v>
      </c>
      <c r="E6" s="222" t="s">
        <v>3203</v>
      </c>
      <c r="F6" s="222"/>
    </row>
    <row r="7" spans="1:6" ht="17.25" customHeight="1">
      <c r="A7" s="218">
        <v>6</v>
      </c>
      <c r="B7" s="21" t="s">
        <v>1194</v>
      </c>
      <c r="C7" s="22" t="s">
        <v>188</v>
      </c>
      <c r="D7" s="212" t="s">
        <v>1189</v>
      </c>
      <c r="E7" s="222" t="s">
        <v>3203</v>
      </c>
      <c r="F7" s="222"/>
    </row>
    <row r="8" spans="1:6" ht="17.25" customHeight="1">
      <c r="A8" s="218">
        <v>7</v>
      </c>
      <c r="B8" s="21" t="s">
        <v>1192</v>
      </c>
      <c r="C8" s="22" t="s">
        <v>1193</v>
      </c>
      <c r="D8" s="212" t="s">
        <v>1188</v>
      </c>
      <c r="E8" s="222" t="s">
        <v>3203</v>
      </c>
      <c r="F8" s="222"/>
    </row>
    <row r="9" spans="1:6" ht="17.25" customHeight="1">
      <c r="A9" s="218">
        <v>8</v>
      </c>
      <c r="B9" s="21" t="s">
        <v>134</v>
      </c>
      <c r="C9" s="22" t="s">
        <v>135</v>
      </c>
      <c r="D9" s="12">
        <v>39513</v>
      </c>
      <c r="E9" s="222" t="s">
        <v>3204</v>
      </c>
      <c r="F9" s="222"/>
    </row>
    <row r="10" spans="1:6" ht="17.25" customHeight="1">
      <c r="A10" s="218">
        <v>10</v>
      </c>
      <c r="B10" s="21" t="s">
        <v>1876</v>
      </c>
      <c r="C10" s="22" t="s">
        <v>1877</v>
      </c>
      <c r="D10" s="212" t="s">
        <v>1881</v>
      </c>
      <c r="E10" s="222" t="s">
        <v>3205</v>
      </c>
      <c r="F10" s="222"/>
    </row>
    <row r="11" spans="1:6" ht="17.25" customHeight="1">
      <c r="A11" s="218">
        <v>11</v>
      </c>
      <c r="B11" s="21" t="s">
        <v>1962</v>
      </c>
      <c r="C11" s="22" t="s">
        <v>151</v>
      </c>
      <c r="D11" s="212" t="s">
        <v>1966</v>
      </c>
      <c r="E11" s="222" t="s">
        <v>3205</v>
      </c>
      <c r="F11" s="222"/>
    </row>
    <row r="12" spans="1:6" ht="17.25" customHeight="1">
      <c r="A12" s="218">
        <v>12</v>
      </c>
      <c r="B12" s="21" t="s">
        <v>2650</v>
      </c>
      <c r="C12" s="22" t="s">
        <v>287</v>
      </c>
      <c r="D12" s="212" t="s">
        <v>2651</v>
      </c>
      <c r="E12" s="222" t="s">
        <v>3205</v>
      </c>
      <c r="F12" s="222"/>
    </row>
    <row r="13" spans="1:6" ht="17.25" customHeight="1">
      <c r="A13" s="218">
        <v>13</v>
      </c>
      <c r="B13" s="21" t="s">
        <v>2934</v>
      </c>
      <c r="C13" s="22" t="s">
        <v>106</v>
      </c>
      <c r="D13" s="212" t="s">
        <v>2937</v>
      </c>
      <c r="E13" s="222" t="s">
        <v>3206</v>
      </c>
      <c r="F13" s="222"/>
    </row>
    <row r="14" spans="1:6" ht="17.25" customHeight="1">
      <c r="A14" s="218">
        <v>14</v>
      </c>
      <c r="B14" s="21" t="s">
        <v>1830</v>
      </c>
      <c r="C14" s="22" t="s">
        <v>96</v>
      </c>
      <c r="D14" s="12" t="s">
        <v>1832</v>
      </c>
      <c r="E14" s="222" t="s">
        <v>3208</v>
      </c>
      <c r="F14" s="222"/>
    </row>
    <row r="15" spans="1:6" ht="17.25" customHeight="1">
      <c r="A15" s="218">
        <v>15</v>
      </c>
      <c r="B15" s="21" t="s">
        <v>2074</v>
      </c>
      <c r="C15" s="22" t="s">
        <v>201</v>
      </c>
      <c r="D15" s="12" t="s">
        <v>2075</v>
      </c>
      <c r="E15" s="222" t="s">
        <v>3208</v>
      </c>
      <c r="F15" s="222"/>
    </row>
    <row r="16" spans="1:6" ht="17.25" customHeight="1">
      <c r="A16" s="218">
        <v>16</v>
      </c>
      <c r="B16" s="21" t="s">
        <v>1796</v>
      </c>
      <c r="C16" s="22" t="s">
        <v>1425</v>
      </c>
      <c r="D16" s="12">
        <v>39716</v>
      </c>
      <c r="E16" s="222" t="s">
        <v>3208</v>
      </c>
      <c r="F16" s="225"/>
    </row>
    <row r="17" spans="1:6" ht="17.25" customHeight="1">
      <c r="A17" s="218">
        <v>17</v>
      </c>
      <c r="B17" s="21" t="s">
        <v>2853</v>
      </c>
      <c r="C17" s="22" t="s">
        <v>66</v>
      </c>
      <c r="D17" s="12" t="s">
        <v>2854</v>
      </c>
      <c r="E17" s="225" t="s">
        <v>3211</v>
      </c>
      <c r="F17" s="225"/>
    </row>
    <row r="18" spans="1:6" ht="17.25" customHeight="1">
      <c r="A18" s="218">
        <v>18</v>
      </c>
      <c r="B18" s="21" t="s">
        <v>417</v>
      </c>
      <c r="C18" s="22" t="s">
        <v>418</v>
      </c>
      <c r="D18" s="34">
        <v>39730</v>
      </c>
      <c r="E18" s="225" t="s">
        <v>3271</v>
      </c>
      <c r="F18" s="225"/>
    </row>
    <row r="19" spans="1:6" ht="17.25" customHeight="1">
      <c r="A19" s="218">
        <v>19</v>
      </c>
      <c r="B19" s="21" t="s">
        <v>253</v>
      </c>
      <c r="C19" s="22" t="s">
        <v>191</v>
      </c>
      <c r="D19" s="34">
        <v>39232</v>
      </c>
      <c r="E19" s="225" t="s">
        <v>3278</v>
      </c>
      <c r="F19" s="225"/>
    </row>
    <row r="20" spans="1:6" ht="17.25" customHeight="1">
      <c r="A20" s="218">
        <v>20</v>
      </c>
      <c r="B20" s="21" t="s">
        <v>1173</v>
      </c>
      <c r="C20" s="22" t="s">
        <v>1174</v>
      </c>
      <c r="D20" s="34">
        <v>39795</v>
      </c>
      <c r="E20" s="225" t="s">
        <v>3279</v>
      </c>
      <c r="F20" s="225"/>
    </row>
    <row r="21" spans="1:6" ht="17.25" customHeight="1">
      <c r="A21" s="218">
        <v>21</v>
      </c>
      <c r="B21" s="21" t="s">
        <v>369</v>
      </c>
      <c r="C21" s="22" t="s">
        <v>315</v>
      </c>
      <c r="D21" s="34">
        <v>38182</v>
      </c>
      <c r="E21" s="225" t="s">
        <v>3280</v>
      </c>
      <c r="F21" s="225"/>
    </row>
    <row r="22" spans="1:6" ht="17.25" customHeight="1">
      <c r="A22" s="218">
        <v>22</v>
      </c>
      <c r="B22" s="21" t="s">
        <v>1244</v>
      </c>
      <c r="C22" s="22" t="s">
        <v>743</v>
      </c>
      <c r="D22" s="34" t="s">
        <v>1246</v>
      </c>
      <c r="E22" s="225" t="s">
        <v>3280</v>
      </c>
      <c r="F22" s="225"/>
    </row>
    <row r="23" spans="1:6" ht="17.25" customHeight="1">
      <c r="A23" s="218">
        <v>23</v>
      </c>
      <c r="B23" s="21" t="s">
        <v>2048</v>
      </c>
      <c r="C23" s="22" t="s">
        <v>342</v>
      </c>
      <c r="D23" s="224" t="s">
        <v>2050</v>
      </c>
      <c r="E23" s="225" t="s">
        <v>3209</v>
      </c>
      <c r="F23" s="225"/>
    </row>
    <row r="24" spans="1:6" ht="17.25" customHeight="1">
      <c r="A24" s="218">
        <v>24</v>
      </c>
      <c r="B24" s="21" t="s">
        <v>2261</v>
      </c>
      <c r="C24" s="22" t="s">
        <v>498</v>
      </c>
      <c r="D24" s="212" t="s">
        <v>1775</v>
      </c>
      <c r="E24" s="225" t="s">
        <v>3210</v>
      </c>
      <c r="F24" s="225"/>
    </row>
    <row r="25" spans="1:6" ht="17.25" customHeight="1">
      <c r="A25" s="218">
        <v>25</v>
      </c>
      <c r="B25" s="21" t="s">
        <v>2380</v>
      </c>
      <c r="C25" s="22" t="s">
        <v>470</v>
      </c>
      <c r="D25" s="212" t="s">
        <v>2248</v>
      </c>
      <c r="E25" s="225" t="s">
        <v>3210</v>
      </c>
      <c r="F25" s="225"/>
    </row>
    <row r="26" spans="1:6" ht="17.25" customHeight="1">
      <c r="A26" s="218">
        <v>26</v>
      </c>
      <c r="B26" s="21" t="s">
        <v>2943</v>
      </c>
      <c r="C26" s="22" t="s">
        <v>315</v>
      </c>
      <c r="D26" s="213" t="s">
        <v>2945</v>
      </c>
      <c r="E26" s="225" t="s">
        <v>3210</v>
      </c>
      <c r="F26" s="225"/>
    </row>
    <row r="27" spans="1:6" ht="17.25" customHeight="1">
      <c r="A27" s="218">
        <v>27</v>
      </c>
      <c r="B27" s="21" t="s">
        <v>2667</v>
      </c>
      <c r="C27" s="22" t="s">
        <v>97</v>
      </c>
      <c r="D27" s="34">
        <v>39464</v>
      </c>
      <c r="E27" s="225" t="s">
        <v>3216</v>
      </c>
      <c r="F27" s="225"/>
    </row>
    <row r="28" spans="1:6" ht="17.25" customHeight="1">
      <c r="A28" s="218">
        <v>29</v>
      </c>
      <c r="B28" s="21" t="s">
        <v>175</v>
      </c>
      <c r="C28" s="22" t="s">
        <v>34</v>
      </c>
      <c r="D28" s="12">
        <v>39779</v>
      </c>
      <c r="E28" s="225" t="s">
        <v>3214</v>
      </c>
      <c r="F28" s="225"/>
    </row>
    <row r="29" spans="1:6" ht="17.25" customHeight="1">
      <c r="A29" s="218">
        <v>30</v>
      </c>
      <c r="B29" s="21" t="s">
        <v>2669</v>
      </c>
      <c r="C29" s="22" t="s">
        <v>83</v>
      </c>
      <c r="D29" s="12" t="s">
        <v>2375</v>
      </c>
      <c r="E29" s="225" t="s">
        <v>3214</v>
      </c>
      <c r="F29" s="225"/>
    </row>
    <row r="30" spans="1:6" ht="17.25" customHeight="1">
      <c r="A30" s="218">
        <v>31</v>
      </c>
      <c r="B30" s="21" t="s">
        <v>2768</v>
      </c>
      <c r="C30" s="22" t="s">
        <v>201</v>
      </c>
      <c r="D30" s="12">
        <v>38324</v>
      </c>
      <c r="E30" s="225" t="s">
        <v>3214</v>
      </c>
      <c r="F30" s="225"/>
    </row>
    <row r="31" spans="1:6" ht="17.25" customHeight="1">
      <c r="A31" s="218">
        <v>32</v>
      </c>
      <c r="B31" s="21" t="s">
        <v>2024</v>
      </c>
      <c r="C31" s="22" t="s">
        <v>2025</v>
      </c>
      <c r="D31" s="12" t="s">
        <v>1657</v>
      </c>
      <c r="E31" s="225" t="s">
        <v>3212</v>
      </c>
      <c r="F31" s="225"/>
    </row>
    <row r="32" spans="1:6" ht="17.25" customHeight="1">
      <c r="A32" s="218">
        <v>33</v>
      </c>
      <c r="B32" s="21" t="s">
        <v>1774</v>
      </c>
      <c r="C32" s="22" t="s">
        <v>185</v>
      </c>
      <c r="D32" s="12" t="s">
        <v>1775</v>
      </c>
      <c r="E32" s="225" t="s">
        <v>3213</v>
      </c>
      <c r="F32" s="225"/>
    </row>
    <row r="33" spans="1:6" ht="17.25" customHeight="1">
      <c r="A33" s="218">
        <v>34</v>
      </c>
      <c r="B33" s="21" t="s">
        <v>469</v>
      </c>
      <c r="C33" s="22" t="s">
        <v>470</v>
      </c>
      <c r="D33" s="12">
        <v>38095</v>
      </c>
      <c r="E33" s="225" t="s">
        <v>3213</v>
      </c>
      <c r="F33" s="225"/>
    </row>
    <row r="34" spans="1:6" ht="17.25" customHeight="1">
      <c r="A34" s="218">
        <v>35</v>
      </c>
      <c r="B34" s="21" t="s">
        <v>2949</v>
      </c>
      <c r="C34" s="22" t="s">
        <v>180</v>
      </c>
      <c r="D34" s="12" t="s">
        <v>2950</v>
      </c>
      <c r="E34" s="225" t="s">
        <v>3213</v>
      </c>
      <c r="F34" s="225"/>
    </row>
  </sheetData>
  <sortState ref="B3:E41">
    <sortCondition ref="E3:E41"/>
  </sortState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15</vt:i4>
      </vt:variant>
    </vt:vector>
  </HeadingPairs>
  <TitlesOfParts>
    <vt:vector size="48" baseType="lpstr">
      <vt:lpstr>Sheet1</vt:lpstr>
      <vt:lpstr>CN11A1</vt:lpstr>
      <vt:lpstr>CN11A2</vt:lpstr>
      <vt:lpstr>CN11A3</vt:lpstr>
      <vt:lpstr>CN11A4</vt:lpstr>
      <vt:lpstr>CN11A5</vt:lpstr>
      <vt:lpstr>CN11A6</vt:lpstr>
      <vt:lpstr>CN11A7</vt:lpstr>
      <vt:lpstr>CĐ19A1</vt:lpstr>
      <vt:lpstr>CĐ19A2</vt:lpstr>
      <vt:lpstr>CĐ19A3</vt:lpstr>
      <vt:lpstr>CĐ19A4</vt:lpstr>
      <vt:lpstr>MLĐH5A</vt:lpstr>
      <vt:lpstr>CT10AL</vt:lpstr>
      <vt:lpstr>CT10AD</vt:lpstr>
      <vt:lpstr>CT10A</vt:lpstr>
      <vt:lpstr>ĐD18A1</vt:lpstr>
      <vt:lpstr>ĐD18A2</vt:lpstr>
      <vt:lpstr>ĐD18A3</vt:lpstr>
      <vt:lpstr>ĐD18A4</vt:lpstr>
      <vt:lpstr>ĐD18A5</vt:lpstr>
      <vt:lpstr>DC15A1</vt:lpstr>
      <vt:lpstr>DC15A2</vt:lpstr>
      <vt:lpstr>YC4A</vt:lpstr>
      <vt:lpstr>VLTL2A 1</vt:lpstr>
      <vt:lpstr>VLTL2A 2</vt:lpstr>
      <vt:lpstr>YHCT1A</vt:lpstr>
      <vt:lpstr>QL11A</vt:lpstr>
      <vt:lpstr>QT17A</vt:lpstr>
      <vt:lpstr>ANC2A</vt:lpstr>
      <vt:lpstr>NNC2A</vt:lpstr>
      <vt:lpstr>in</vt:lpstr>
      <vt:lpstr>THIẾU HỒ SƠ</vt:lpstr>
      <vt:lpstr>CĐ19A2!Print_Titles</vt:lpstr>
      <vt:lpstr>CĐ19A3!Print_Titles</vt:lpstr>
      <vt:lpstr>CN11A1!Print_Titles</vt:lpstr>
      <vt:lpstr>CN11A2!Print_Titles</vt:lpstr>
      <vt:lpstr>CN11A3!Print_Titles</vt:lpstr>
      <vt:lpstr>CN11A4!Print_Titles</vt:lpstr>
      <vt:lpstr>CN11A5!Print_Titles</vt:lpstr>
      <vt:lpstr>CN11A6!Print_Titles</vt:lpstr>
      <vt:lpstr>CN11A7!Print_Titles</vt:lpstr>
      <vt:lpstr>DC15A1!Print_Titles</vt:lpstr>
      <vt:lpstr>DC15A2!Print_Titles</vt:lpstr>
      <vt:lpstr>ĐD18A1!Print_Titles</vt:lpstr>
      <vt:lpstr>ĐD18A2!Print_Titles</vt:lpstr>
      <vt:lpstr>ĐD18A3!Print_Titles</vt:lpstr>
      <vt:lpstr>'VLTL2A 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2026-10-22T01:38:34Z</dcterms:modified>
</cp:coreProperties>
</file>